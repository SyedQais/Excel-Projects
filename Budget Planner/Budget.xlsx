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14.xml"/>
  <Override ContentType="application/vnd.openxmlformats-officedocument.drawingml.chart+xml" PartName="/xl/charts/chart30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31.xml"/>
  <Override ContentType="application/vnd.openxmlformats-officedocument.drawingml.chart+xml" PartName="/xl/charts/chart26.xml"/>
  <Override ContentType="application/vnd.openxmlformats-officedocument.drawingml.chart+xml" PartName="/xl/charts/chart39.xml"/>
  <Override ContentType="application/vnd.openxmlformats-officedocument.drawingml.chart+xml" PartName="/xl/charts/chart35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34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42.xml"/>
  <Override ContentType="application/vnd.openxmlformats-officedocument.drawingml.chart+xml" PartName="/xl/charts/chart25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38.xml"/>
  <Override ContentType="application/vnd.openxmlformats-officedocument.drawingml.chart+xml" PartName="/xl/charts/chart16.xml"/>
  <Override ContentType="application/vnd.openxmlformats-officedocument.drawingml.chart+xml" PartName="/xl/charts/chart41.xml"/>
  <Override ContentType="application/vnd.openxmlformats-officedocument.drawingml.chart+xml" PartName="/xl/charts/chart11.xml"/>
  <Override ContentType="application/vnd.openxmlformats-officedocument.drawingml.chart+xml" PartName="/xl/charts/chart29.xml"/>
  <Override ContentType="application/vnd.openxmlformats-officedocument.drawingml.chart+xml" PartName="/xl/charts/chart37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33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28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5.xml"/>
  <Override ContentType="application/vnd.openxmlformats-officedocument.drawingml.chart+xml" PartName="/xl/charts/chart40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32.xml"/>
  <Override ContentType="application/vnd.openxmlformats-officedocument.drawingml.chart+xml" PartName="/xl/charts/chart5.xml"/>
  <Override ContentType="application/vnd.openxmlformats-officedocument.drawingml.chart+xml" PartName="/xl/charts/chart23.xml"/>
  <Override ContentType="application/vnd.openxmlformats-officedocument.drawingml.chart+xml" PartName="/xl/charts/chart36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" sheetId="1" r:id="rId4"/>
    <sheet state="visible" name="Annual" sheetId="2" r:id="rId5"/>
    <sheet state="visible" name="January" sheetId="3" r:id="rId6"/>
    <sheet state="visible" name="Feburary" sheetId="4" r:id="rId7"/>
    <sheet state="visible" name="March" sheetId="5" r:id="rId8"/>
    <sheet state="visible" name="April" sheetId="6" r:id="rId9"/>
    <sheet state="visible" name="May" sheetId="7" r:id="rId10"/>
    <sheet state="visible" name="June" sheetId="8" r:id="rId11"/>
    <sheet state="visible" name="July" sheetId="9" r:id="rId12"/>
    <sheet state="visible" name="August" sheetId="10" r:id="rId13"/>
    <sheet state="visible" name="September" sheetId="11" r:id="rId14"/>
    <sheet state="visible" name="October" sheetId="12" r:id="rId15"/>
    <sheet state="visible" name="November" sheetId="13" r:id="rId16"/>
    <sheet state="visible" name="December" sheetId="14" r:id="rId17"/>
    <sheet state="visible" name="setting" sheetId="15" r:id="rId18"/>
  </sheets>
  <definedNames/>
  <calcPr/>
</workbook>
</file>

<file path=xl/sharedStrings.xml><?xml version="1.0" encoding="utf-8"?>
<sst xmlns="http://schemas.openxmlformats.org/spreadsheetml/2006/main" count="1085" uniqueCount="100">
  <si>
    <t>Sample</t>
  </si>
  <si>
    <t>Overview</t>
  </si>
  <si>
    <t>INCOME</t>
  </si>
  <si>
    <t>Left to Spend</t>
  </si>
  <si>
    <t>Bills &amp; Expenses</t>
  </si>
  <si>
    <t>Debt Payments</t>
  </si>
  <si>
    <t>Savings</t>
  </si>
  <si>
    <t>Start Date</t>
  </si>
  <si>
    <t>End Date</t>
  </si>
  <si>
    <t>Currency</t>
  </si>
  <si>
    <t>$</t>
  </si>
  <si>
    <t>Start Balance</t>
  </si>
  <si>
    <t>spent</t>
  </si>
  <si>
    <t>Cashflow</t>
  </si>
  <si>
    <t>debt</t>
  </si>
  <si>
    <t>Budget</t>
  </si>
  <si>
    <t>Actual</t>
  </si>
  <si>
    <t>bills</t>
  </si>
  <si>
    <t xml:space="preserve"> </t>
  </si>
  <si>
    <t>expenses</t>
  </si>
  <si>
    <t>Income</t>
  </si>
  <si>
    <t>savings</t>
  </si>
  <si>
    <t>Debt</t>
  </si>
  <si>
    <t>Left</t>
  </si>
  <si>
    <t>Primary Income</t>
  </si>
  <si>
    <t>Bills</t>
  </si>
  <si>
    <t>Expenses</t>
  </si>
  <si>
    <t>Estimated</t>
  </si>
  <si>
    <t>Due</t>
  </si>
  <si>
    <t>Paycheck</t>
  </si>
  <si>
    <t>Netflix</t>
  </si>
  <si>
    <t>Transport</t>
  </si>
  <si>
    <t>Credit Card 1</t>
  </si>
  <si>
    <t>Paycheck 2</t>
  </si>
  <si>
    <t>Spotify</t>
  </si>
  <si>
    <t>Groceries</t>
  </si>
  <si>
    <t>Credit Card 2</t>
  </si>
  <si>
    <t>Bonus</t>
  </si>
  <si>
    <t>Rent</t>
  </si>
  <si>
    <t>Eating Out</t>
  </si>
  <si>
    <t>Student Loan</t>
  </si>
  <si>
    <t>Gifts</t>
  </si>
  <si>
    <t>Gas</t>
  </si>
  <si>
    <t>Coffee</t>
  </si>
  <si>
    <t xml:space="preserve">Car Loan	</t>
  </si>
  <si>
    <t>Freelancing work</t>
  </si>
  <si>
    <t>Electricity</t>
  </si>
  <si>
    <t>Fuel</t>
  </si>
  <si>
    <t>Total</t>
  </si>
  <si>
    <t>Internet</t>
  </si>
  <si>
    <t>Health</t>
  </si>
  <si>
    <t>Phone</t>
  </si>
  <si>
    <t>Beauty</t>
  </si>
  <si>
    <t>Secondary Income</t>
  </si>
  <si>
    <t>Gym</t>
  </si>
  <si>
    <t>Clothes</t>
  </si>
  <si>
    <t>Prime</t>
  </si>
  <si>
    <t>Car</t>
  </si>
  <si>
    <t>Entertainment</t>
  </si>
  <si>
    <t>Capital Gains</t>
  </si>
  <si>
    <t xml:space="preserve">Bank Fees	</t>
  </si>
  <si>
    <t>Mortgage</t>
  </si>
  <si>
    <t>Stocks</t>
  </si>
  <si>
    <t>Car Insurance</t>
  </si>
  <si>
    <t>Rental Income</t>
  </si>
  <si>
    <t>Maintenance</t>
  </si>
  <si>
    <t>Interests</t>
  </si>
  <si>
    <t>Side Hustle</t>
  </si>
  <si>
    <t>Saving For</t>
  </si>
  <si>
    <t>Renovation</t>
  </si>
  <si>
    <t>Vacation</t>
  </si>
  <si>
    <t xml:space="preserve">Emergency Fund	</t>
  </si>
  <si>
    <t>Holidays</t>
  </si>
  <si>
    <t>Monthly Reflection Box</t>
  </si>
  <si>
    <t>We overspent on dining out.</t>
  </si>
  <si>
    <t>Plan 2 home-cooked meals per week.</t>
  </si>
  <si>
    <t>Met our savings target for the month!</t>
  </si>
  <si>
    <t>Annual Summary</t>
  </si>
  <si>
    <t>TOTAL INCOME</t>
  </si>
  <si>
    <t>TOTAL LEFT TO SPEND</t>
  </si>
  <si>
    <t>TOTAL BILLS &amp; EXPENSES</t>
  </si>
  <si>
    <t>TOTAL DEBT PAID</t>
  </si>
  <si>
    <t>TOTAL SAVED</t>
  </si>
  <si>
    <t>Month</t>
  </si>
  <si>
    <t>Difference</t>
  </si>
  <si>
    <t>Months</t>
  </si>
  <si>
    <t>January</t>
  </si>
  <si>
    <t>Feburary</t>
  </si>
  <si>
    <t>March</t>
  </si>
  <si>
    <t>April</t>
  </si>
  <si>
    <t>May</t>
  </si>
  <si>
    <t>June</t>
  </si>
  <si>
    <t xml:space="preserve">July </t>
  </si>
  <si>
    <t>August</t>
  </si>
  <si>
    <t>September</t>
  </si>
  <si>
    <t>October</t>
  </si>
  <si>
    <t>November</t>
  </si>
  <si>
    <t>December</t>
  </si>
  <si>
    <t>July</t>
  </si>
  <si>
    <t>Days of Month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</si>
</sst>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#,##0.00;(#,##0.00)"/>
  </numFmts>
  <fonts count="23">
    <font>
      <sz val="10.0"/>
      <color rgb="FF000000"/>
      <name val="Arial"/>
      <scheme val="minor"/>
    </font>
    <font>
      <sz val="10.0"/>
      <color theme="1"/>
      <name val="Montserrat"/>
    </font>
    <font>
      <sz val="20.0"/>
      <color theme="1"/>
      <name val="Montserrat"/>
    </font>
    <font>
      <sz val="18.0"/>
      <color theme="1"/>
      <name val="Montserrat"/>
    </font>
    <font/>
    <font>
      <sz val="18.0"/>
      <color rgb="FFFFFFFF"/>
      <name val="Montserrat"/>
    </font>
    <font>
      <sz val="20.0"/>
      <color rgb="FFFFFFFF"/>
      <name val="Montserrat"/>
    </font>
    <font>
      <sz val="19.0"/>
      <color rgb="FFFFFFFF"/>
      <name val="Montserrat"/>
    </font>
    <font>
      <sz val="10.0"/>
      <color rgb="FF000000"/>
      <name val="Montserrat"/>
    </font>
    <font>
      <sz val="22.0"/>
      <color rgb="FFFFFFFF"/>
      <name val="Arial"/>
      <scheme val="minor"/>
    </font>
    <font>
      <sz val="22.0"/>
      <color theme="0"/>
      <name val="Arial"/>
      <scheme val="minor"/>
    </font>
    <font>
      <sz val="10.0"/>
      <color rgb="FFFFFFFF"/>
      <name val="Montserrat"/>
    </font>
    <font>
      <color theme="1"/>
      <name val="Arial"/>
      <scheme val="minor"/>
    </font>
    <font>
      <b/>
      <sz val="8.0"/>
      <color theme="1"/>
      <name val="Montserrat"/>
    </font>
    <font>
      <b/>
      <sz val="9.0"/>
      <color theme="1"/>
      <name val="Montserrat"/>
    </font>
    <font>
      <color theme="1"/>
      <name val="Montserrat"/>
    </font>
    <font>
      <sz val="14.0"/>
      <color theme="1"/>
      <name val="Montserrat"/>
    </font>
    <font>
      <color theme="1"/>
      <name val="Arial"/>
    </font>
    <font>
      <sz val="16.0"/>
      <color rgb="FFFFFFFF"/>
      <name val="Montserrat"/>
    </font>
    <font>
      <color rgb="FFFFFFFF"/>
      <name val="Arial"/>
      <scheme val="minor"/>
    </font>
    <font>
      <b/>
      <sz val="8.0"/>
      <color rgb="FFFFFFFF"/>
      <name val="Montserrat"/>
    </font>
    <font>
      <b/>
      <sz val="9.0"/>
      <color rgb="FFFFFFFF"/>
      <name val="Montserrat"/>
    </font>
    <font>
      <b/>
      <sz val="10.0"/>
      <color rgb="FFFFFFFF"/>
      <name val="Montserrat"/>
    </font>
  </fonts>
  <fills count="2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434343"/>
        <bgColor rgb="FF434343"/>
      </patternFill>
    </fill>
    <fill>
      <patternFill patternType="solid">
        <fgColor rgb="FF666666"/>
        <bgColor rgb="FF666666"/>
      </patternFill>
    </fill>
    <fill>
      <patternFill patternType="solid">
        <fgColor rgb="FF76A5AF"/>
        <bgColor rgb="FF76A5AF"/>
      </patternFill>
    </fill>
    <fill>
      <patternFill patternType="solid">
        <fgColor rgb="FFFFFFFF"/>
        <bgColor rgb="FFFFFFFF"/>
      </patternFill>
    </fill>
    <fill>
      <patternFill patternType="solid">
        <fgColor rgb="FFBCCED1"/>
        <bgColor rgb="FFBCCED1"/>
      </patternFill>
    </fill>
    <fill>
      <patternFill patternType="solid">
        <fgColor rgb="FFD9D9D9"/>
        <bgColor rgb="FFD9D9D9"/>
      </patternFill>
    </fill>
    <fill>
      <patternFill patternType="solid">
        <fgColor rgb="FFE6B8AF"/>
        <bgColor rgb="FFE6B8AF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FF9900"/>
        <bgColor rgb="FFFF9900"/>
      </patternFill>
    </fill>
    <fill>
      <patternFill patternType="solid">
        <fgColor rgb="FFF8E3E0"/>
        <bgColor rgb="FFF8E3E0"/>
      </patternFill>
    </fill>
    <fill>
      <patternFill patternType="solid">
        <fgColor rgb="FFCFE2F3"/>
        <bgColor rgb="FFCFE2F3"/>
      </patternFill>
    </fill>
    <fill>
      <patternFill patternType="solid">
        <fgColor rgb="FFCFE2C8"/>
        <bgColor rgb="FFCFE2C8"/>
      </patternFill>
    </fill>
    <fill>
      <patternFill patternType="solid">
        <fgColor rgb="FFFFD596"/>
        <bgColor rgb="FFFFD596"/>
      </patternFill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E06666"/>
        <bgColor rgb="FFE06666"/>
      </patternFill>
    </fill>
    <fill>
      <patternFill patternType="solid">
        <fgColor rgb="FFEA9999"/>
        <bgColor rgb="FFEA9999"/>
      </patternFill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</fills>
  <borders count="2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CCCCCC"/>
      </bottom>
    </border>
    <border>
      <bottom style="thin">
        <color rgb="FFCCCCCC"/>
      </bottom>
    </border>
    <border>
      <right style="thin">
        <color rgb="FF000000"/>
      </right>
      <bottom style="thin">
        <color rgb="FFCCCCCC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000000"/>
      </right>
      <top style="thin">
        <color rgb="FFCCCCCC"/>
      </top>
      <bottom style="thin">
        <color rgb="FFCCCCCC"/>
      </bottom>
    </border>
    <border>
      <left style="thin">
        <color rgb="FF000000"/>
      </left>
      <top style="thin">
        <color rgb="FFCCCCCC"/>
      </top>
      <bottom style="thin">
        <color rgb="FF000000"/>
      </bottom>
    </border>
    <border>
      <top style="thin">
        <color rgb="FFCCCCCC"/>
      </top>
      <bottom style="thin">
        <color rgb="FF000000"/>
      </bottom>
    </border>
    <border>
      <right style="thin">
        <color rgb="FF000000"/>
      </right>
      <top style="thin">
        <color rgb="FFCCCCCC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CCCCCC"/>
      </top>
    </border>
    <border>
      <top style="thin">
        <color rgb="FFCCCCCC"/>
      </top>
    </border>
    <border>
      <right style="thin">
        <color rgb="FF000000"/>
      </right>
      <top style="thin">
        <color rgb="FFCCCCCC"/>
      </top>
    </border>
    <border>
      <left style="thin">
        <color rgb="FFD9D9D9"/>
      </left>
      <bottom style="thin">
        <color rgb="FFCCCCCC"/>
      </bottom>
    </border>
    <border>
      <left style="thin">
        <color rgb="FFD9D9D9"/>
      </left>
      <top style="thin">
        <color rgb="FFCCCCCC"/>
      </top>
      <bottom style="thin">
        <color rgb="FFCCCCCC"/>
      </bottom>
    </border>
    <border>
      <right style="thin">
        <color rgb="FFD9D9D9"/>
      </right>
    </border>
    <border>
      <right style="thin">
        <color rgb="FF000000"/>
      </right>
      <top style="thin">
        <color rgb="FFB7B7B7"/>
      </top>
      <bottom style="thin">
        <color rgb="FF000000"/>
      </bottom>
    </border>
    <border>
      <right style="thin">
        <color rgb="FF000000"/>
      </right>
      <top style="thin">
        <color rgb="FFB7B7B7"/>
      </top>
    </border>
  </borders>
  <cellStyleXfs count="1">
    <xf borderId="0" fillId="0" fontId="0" numFmtId="0" applyAlignment="1" applyFont="1"/>
  </cellStyleXfs>
  <cellXfs count="19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1" fillId="2" fontId="3" numFmtId="0" xfId="0" applyAlignment="1" applyBorder="1" applyFill="1" applyFont="1">
      <alignment horizontal="center" readingOrder="0" vertical="center"/>
    </xf>
    <xf borderId="2" fillId="0" fontId="4" numFmtId="0" xfId="0" applyBorder="1" applyFont="1"/>
    <xf borderId="3" fillId="0" fontId="4" numFmtId="0" xfId="0" applyBorder="1" applyFont="1"/>
    <xf borderId="1" fillId="3" fontId="5" numFmtId="0" xfId="0" applyAlignment="1" applyBorder="1" applyFill="1" applyFont="1">
      <alignment horizontal="center" readingOrder="0" vertical="center"/>
    </xf>
    <xf borderId="2" fillId="3" fontId="6" numFmtId="0" xfId="0" applyAlignment="1" applyBorder="1" applyFont="1">
      <alignment horizontal="center" readingOrder="0" vertical="center"/>
    </xf>
    <xf borderId="2" fillId="3" fontId="7" numFmtId="0" xfId="0" applyAlignment="1" applyBorder="1" applyFont="1">
      <alignment horizontal="center" readingOrder="0" vertical="center"/>
    </xf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0" fillId="0" fontId="8" numFmtId="0" xfId="0" applyAlignment="1" applyFont="1">
      <alignment horizontal="center" vertical="center"/>
    </xf>
    <xf borderId="9" fillId="0" fontId="1" numFmtId="0" xfId="0" applyAlignment="1" applyBorder="1" applyFont="1">
      <alignment horizontal="center" readingOrder="0" vertical="center"/>
    </xf>
    <xf borderId="10" fillId="0" fontId="1" numFmtId="164" xfId="0" applyAlignment="1" applyBorder="1" applyFont="1" applyNumberFormat="1">
      <alignment horizontal="center" readingOrder="0" vertical="center"/>
    </xf>
    <xf borderId="11" fillId="0" fontId="4" numFmtId="0" xfId="0" applyBorder="1" applyFont="1"/>
    <xf borderId="7" fillId="4" fontId="9" numFmtId="165" xfId="0" applyAlignment="1" applyBorder="1" applyFill="1" applyFont="1" applyNumberFormat="1">
      <alignment horizontal="center" readingOrder="0" vertical="center"/>
    </xf>
    <xf borderId="0" fillId="4" fontId="9" numFmtId="165" xfId="0" applyAlignment="1" applyFont="1" applyNumberFormat="1">
      <alignment horizontal="center" readingOrder="0" vertical="center"/>
    </xf>
    <xf borderId="0" fillId="4" fontId="10" numFmtId="165" xfId="0" applyAlignment="1" applyFont="1" applyNumberFormat="1">
      <alignment horizontal="center" readingOrder="0" vertical="center"/>
    </xf>
    <xf borderId="10" fillId="0" fontId="1" numFmtId="0" xfId="0" applyAlignment="1" applyBorder="1" applyFont="1">
      <alignment horizontal="center" readingOrder="0" vertical="center"/>
    </xf>
    <xf borderId="12" fillId="0" fontId="1" numFmtId="0" xfId="0" applyAlignment="1" applyBorder="1" applyFont="1">
      <alignment horizontal="center" readingOrder="0" vertical="center"/>
    </xf>
    <xf borderId="13" fillId="0" fontId="1" numFmtId="165" xfId="0" applyAlignment="1" applyBorder="1" applyFont="1" applyNumberFormat="1">
      <alignment horizontal="center" readingOrder="0" vertical="center"/>
    </xf>
    <xf borderId="14" fillId="0" fontId="4" numFmtId="0" xfId="0" applyBorder="1" applyFont="1"/>
    <xf borderId="15" fillId="0" fontId="4" numFmtId="0" xfId="0" applyBorder="1" applyFont="1"/>
    <xf borderId="16" fillId="0" fontId="4" numFmtId="0" xfId="0" applyBorder="1" applyFont="1"/>
    <xf borderId="17" fillId="0" fontId="4" numFmtId="0" xfId="0" applyBorder="1" applyFont="1"/>
    <xf borderId="0" fillId="0" fontId="11" numFmtId="0" xfId="0" applyAlignment="1" applyFont="1">
      <alignment horizontal="center" readingOrder="0" vertical="center"/>
    </xf>
    <xf borderId="0" fillId="0" fontId="11" numFmtId="165" xfId="0" applyAlignment="1" applyFont="1" applyNumberFormat="1">
      <alignment horizontal="center" vertical="center"/>
    </xf>
    <xf borderId="0" fillId="0" fontId="11" numFmtId="0" xfId="0" applyAlignment="1" applyFont="1">
      <alignment horizontal="center" vertical="center"/>
    </xf>
    <xf borderId="1" fillId="5" fontId="3" numFmtId="0" xfId="0" applyAlignment="1" applyBorder="1" applyFill="1" applyFont="1">
      <alignment horizontal="center" readingOrder="0" vertical="center"/>
    </xf>
    <xf borderId="1" fillId="0" fontId="12" numFmtId="0" xfId="0" applyBorder="1" applyFont="1"/>
    <xf borderId="2" fillId="0" fontId="12" numFmtId="0" xfId="0" applyBorder="1" applyFont="1"/>
    <xf borderId="3" fillId="0" fontId="12" numFmtId="0" xfId="0" applyBorder="1" applyFont="1"/>
    <xf borderId="7" fillId="6" fontId="12" numFmtId="0" xfId="0" applyBorder="1" applyFill="1" applyFont="1"/>
    <xf borderId="0" fillId="6" fontId="1" numFmtId="0" xfId="0" applyAlignment="1" applyFont="1">
      <alignment horizontal="center" vertical="center"/>
    </xf>
    <xf borderId="8" fillId="6" fontId="1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vertical="center"/>
    </xf>
    <xf borderId="7" fillId="7" fontId="1" numFmtId="0" xfId="0" applyAlignment="1" applyBorder="1" applyFill="1" applyFont="1">
      <alignment horizontal="center" vertical="center"/>
    </xf>
    <xf borderId="0" fillId="7" fontId="1" numFmtId="0" xfId="0" applyAlignment="1" applyFont="1">
      <alignment horizontal="center" readingOrder="0" vertical="center"/>
    </xf>
    <xf borderId="8" fillId="7" fontId="1" numFmtId="0" xfId="0" applyAlignment="1" applyBorder="1" applyFont="1">
      <alignment horizontal="center" readingOrder="0" vertical="center"/>
    </xf>
    <xf borderId="7" fillId="6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readingOrder="0" vertical="center"/>
    </xf>
    <xf borderId="5" fillId="8" fontId="1" numFmtId="165" xfId="0" applyAlignment="1" applyBorder="1" applyFill="1" applyFont="1" applyNumberFormat="1">
      <alignment horizontal="center" vertical="center"/>
    </xf>
    <xf borderId="6" fillId="8" fontId="1" numFmtId="165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1" numFmtId="165" xfId="0" applyAlignment="1" applyFont="1" applyNumberFormat="1">
      <alignment horizontal="center" readingOrder="0" vertical="center"/>
    </xf>
    <xf borderId="10" fillId="8" fontId="1" numFmtId="165" xfId="0" applyAlignment="1" applyBorder="1" applyFont="1" applyNumberFormat="1">
      <alignment horizontal="center" vertical="center"/>
    </xf>
    <xf borderId="11" fillId="8" fontId="1" numFmtId="165" xfId="0" applyAlignment="1" applyBorder="1" applyFont="1" applyNumberFormat="1">
      <alignment horizontal="center" vertical="center"/>
    </xf>
    <xf borderId="0" fillId="6" fontId="13" numFmtId="0" xfId="0" applyAlignment="1" applyFont="1">
      <alignment horizontal="center" vertical="center"/>
    </xf>
    <xf borderId="0" fillId="6" fontId="14" numFmtId="165" xfId="0" applyAlignment="1" applyFont="1" applyNumberFormat="1">
      <alignment horizontal="center" vertical="center"/>
    </xf>
    <xf borderId="18" fillId="0" fontId="1" numFmtId="0" xfId="0" applyAlignment="1" applyBorder="1" applyFont="1">
      <alignment horizontal="center" readingOrder="0" vertical="center"/>
    </xf>
    <xf borderId="19" fillId="8" fontId="1" numFmtId="165" xfId="0" applyAlignment="1" applyBorder="1" applyFont="1" applyNumberFormat="1">
      <alignment horizontal="center" vertical="center"/>
    </xf>
    <xf borderId="20" fillId="8" fontId="1" numFmtId="165" xfId="0" applyAlignment="1" applyBorder="1" applyFont="1" applyNumberFormat="1">
      <alignment horizontal="center" vertical="center"/>
    </xf>
    <xf borderId="15" fillId="7" fontId="1" numFmtId="0" xfId="0" applyAlignment="1" applyBorder="1" applyFont="1">
      <alignment horizontal="center" readingOrder="0" vertical="center"/>
    </xf>
    <xf borderId="16" fillId="7" fontId="1" numFmtId="165" xfId="0" applyAlignment="1" applyBorder="1" applyFont="1" applyNumberFormat="1">
      <alignment horizontal="center" readingOrder="0" vertical="center"/>
    </xf>
    <xf borderId="17" fillId="7" fontId="1" numFmtId="165" xfId="0" applyAlignment="1" applyBorder="1" applyFont="1" applyNumberFormat="1">
      <alignment horizontal="center" readingOrder="0" vertical="center"/>
    </xf>
    <xf borderId="15" fillId="6" fontId="1" numFmtId="0" xfId="0" applyAlignment="1" applyBorder="1" applyFont="1">
      <alignment horizontal="center" vertical="center"/>
    </xf>
    <xf borderId="16" fillId="6" fontId="1" numFmtId="0" xfId="0" applyAlignment="1" applyBorder="1" applyFont="1">
      <alignment horizontal="center" vertical="center"/>
    </xf>
    <xf borderId="17" fillId="6" fontId="1" numFmtId="0" xfId="0" applyAlignment="1" applyBorder="1" applyFont="1">
      <alignment horizontal="center" vertical="center"/>
    </xf>
    <xf borderId="15" fillId="0" fontId="1" numFmtId="0" xfId="0" applyAlignment="1" applyBorder="1" applyFont="1">
      <alignment horizontal="center" vertical="center"/>
    </xf>
    <xf borderId="16" fillId="0" fontId="1" numFmtId="0" xfId="0" applyAlignment="1" applyBorder="1" applyFont="1">
      <alignment horizontal="center" vertical="center"/>
    </xf>
    <xf borderId="17" fillId="0" fontId="1" numFmtId="0" xfId="0" applyAlignment="1" applyBorder="1" applyFont="1">
      <alignment horizontal="center" vertical="center"/>
    </xf>
    <xf borderId="0" fillId="6" fontId="11" numFmtId="0" xfId="0" applyAlignment="1" applyFont="1">
      <alignment horizontal="center" readingOrder="0" vertical="center"/>
    </xf>
    <xf borderId="0" fillId="6" fontId="11" numFmtId="10" xfId="0" applyAlignment="1" applyFont="1" applyNumberFormat="1">
      <alignment horizontal="center" vertical="center"/>
    </xf>
    <xf borderId="1" fillId="9" fontId="3" numFmtId="0" xfId="0" applyAlignment="1" applyBorder="1" applyFill="1" applyFont="1">
      <alignment horizontal="center" readingOrder="0" vertical="center"/>
    </xf>
    <xf borderId="1" fillId="10" fontId="3" numFmtId="0" xfId="0" applyAlignment="1" applyBorder="1" applyFill="1" applyFont="1">
      <alignment horizontal="center" readingOrder="0" vertical="center"/>
    </xf>
    <xf borderId="3" fillId="10" fontId="3" numFmtId="0" xfId="0" applyAlignment="1" applyBorder="1" applyFont="1">
      <alignment horizontal="center" readingOrder="0" vertical="center"/>
    </xf>
    <xf borderId="1" fillId="11" fontId="3" numFmtId="0" xfId="0" applyAlignment="1" applyBorder="1" applyFill="1" applyFont="1">
      <alignment horizontal="center" readingOrder="0" vertical="center"/>
    </xf>
    <xf borderId="1" fillId="12" fontId="3" numFmtId="0" xfId="0" applyAlignment="1" applyBorder="1" applyFill="1" applyFont="1">
      <alignment horizontal="center" readingOrder="0" vertical="center"/>
    </xf>
    <xf borderId="17" fillId="10" fontId="3" numFmtId="0" xfId="0" applyAlignment="1" applyBorder="1" applyFont="1">
      <alignment horizontal="center" readingOrder="0" vertical="center"/>
    </xf>
    <xf borderId="7" fillId="13" fontId="1" numFmtId="0" xfId="0" applyAlignment="1" applyBorder="1" applyFill="1" applyFont="1">
      <alignment horizontal="center" vertical="center"/>
    </xf>
    <xf borderId="0" fillId="13" fontId="1" numFmtId="0" xfId="0" applyAlignment="1" applyFont="1">
      <alignment horizontal="center" readingOrder="0" vertical="center"/>
    </xf>
    <xf borderId="8" fillId="13" fontId="1" numFmtId="0" xfId="0" applyAlignment="1" applyBorder="1" applyFont="1">
      <alignment horizontal="center" readingOrder="0" vertical="center"/>
    </xf>
    <xf borderId="7" fillId="14" fontId="1" numFmtId="0" xfId="0" applyAlignment="1" applyBorder="1" applyFill="1" applyFont="1">
      <alignment horizontal="center" vertical="center"/>
    </xf>
    <xf borderId="0" fillId="14" fontId="1" numFmtId="0" xfId="0" applyAlignment="1" applyFont="1">
      <alignment horizontal="center" readingOrder="0" vertical="center"/>
    </xf>
    <xf borderId="6" fillId="14" fontId="1" numFmtId="0" xfId="0" applyAlignment="1" applyBorder="1" applyFont="1">
      <alignment horizontal="center" readingOrder="0" vertical="center"/>
    </xf>
    <xf borderId="7" fillId="15" fontId="1" numFmtId="0" xfId="0" applyAlignment="1" applyBorder="1" applyFill="1" applyFont="1">
      <alignment horizontal="center" vertical="center"/>
    </xf>
    <xf borderId="0" fillId="15" fontId="1" numFmtId="0" xfId="0" applyAlignment="1" applyFont="1">
      <alignment horizontal="center" readingOrder="0" vertical="center"/>
    </xf>
    <xf borderId="8" fillId="15" fontId="1" numFmtId="0" xfId="0" applyAlignment="1" applyBorder="1" applyFont="1">
      <alignment horizontal="center" readingOrder="0" vertical="center"/>
    </xf>
    <xf borderId="7" fillId="16" fontId="1" numFmtId="0" xfId="0" applyAlignment="1" applyBorder="1" applyFill="1" applyFont="1">
      <alignment horizontal="center" vertical="center"/>
    </xf>
    <xf borderId="0" fillId="16" fontId="1" numFmtId="0" xfId="0" applyAlignment="1" applyFont="1">
      <alignment horizontal="center" readingOrder="0" vertical="center"/>
    </xf>
    <xf borderId="8" fillId="16" fontId="1" numFmtId="0" xfId="0" applyAlignment="1" applyBorder="1" applyFont="1">
      <alignment horizontal="center" readingOrder="0" vertical="center"/>
    </xf>
    <xf borderId="5" fillId="0" fontId="1" numFmtId="165" xfId="0" applyAlignment="1" applyBorder="1" applyFont="1" applyNumberFormat="1">
      <alignment horizontal="center" readingOrder="0" vertical="center"/>
    </xf>
    <xf borderId="6" fillId="0" fontId="1" numFmtId="165" xfId="0" applyAlignment="1" applyBorder="1" applyFont="1" applyNumberFormat="1">
      <alignment horizontal="center" readingOrder="0" vertical="center"/>
    </xf>
    <xf borderId="5" fillId="0" fontId="15" numFmtId="0" xfId="0" applyAlignment="1" applyBorder="1" applyFont="1">
      <alignment horizontal="center"/>
    </xf>
    <xf borderId="21" fillId="0" fontId="1" numFmtId="0" xfId="0" applyAlignment="1" applyBorder="1" applyFont="1">
      <alignment horizontal="center" readingOrder="0" vertical="center"/>
    </xf>
    <xf borderId="11" fillId="8" fontId="1" numFmtId="165" xfId="0" applyAlignment="1" applyBorder="1" applyFont="1" applyNumberFormat="1">
      <alignment horizontal="center" readingOrder="0" vertical="center"/>
    </xf>
    <xf borderId="5" fillId="0" fontId="1" numFmtId="0" xfId="0" applyAlignment="1" applyBorder="1" applyFont="1">
      <alignment horizontal="center" readingOrder="0" vertical="center"/>
    </xf>
    <xf borderId="10" fillId="0" fontId="1" numFmtId="165" xfId="0" applyAlignment="1" applyBorder="1" applyFont="1" applyNumberFormat="1">
      <alignment horizontal="center" readingOrder="0" vertical="center"/>
    </xf>
    <xf borderId="11" fillId="0" fontId="1" numFmtId="165" xfId="0" applyAlignment="1" applyBorder="1" applyFont="1" applyNumberFormat="1">
      <alignment horizontal="center" readingOrder="0" vertical="center"/>
    </xf>
    <xf borderId="10" fillId="0" fontId="15" numFmtId="0" xfId="0" applyAlignment="1" applyBorder="1" applyFont="1">
      <alignment horizontal="center"/>
    </xf>
    <xf borderId="22" fillId="0" fontId="1" numFmtId="0" xfId="0" applyAlignment="1" applyBorder="1" applyFont="1">
      <alignment horizontal="center" readingOrder="0" vertical="center"/>
    </xf>
    <xf borderId="10" fillId="0" fontId="12" numFmtId="165" xfId="0" applyAlignment="1" applyBorder="1" applyFont="1" applyNumberFormat="1">
      <alignment horizontal="center" readingOrder="0"/>
    </xf>
    <xf borderId="19" fillId="0" fontId="1" numFmtId="165" xfId="0" applyAlignment="1" applyBorder="1" applyFont="1" applyNumberFormat="1">
      <alignment horizontal="center" readingOrder="0" vertical="center"/>
    </xf>
    <xf borderId="20" fillId="0" fontId="1" numFmtId="165" xfId="0" applyAlignment="1" applyBorder="1" applyFont="1" applyNumberFormat="1">
      <alignment horizontal="center" readingOrder="0" vertical="center"/>
    </xf>
    <xf borderId="9" fillId="0" fontId="1" numFmtId="0" xfId="0" applyAlignment="1" applyBorder="1" applyFont="1">
      <alignment horizontal="center" vertical="center"/>
    </xf>
    <xf borderId="10" fillId="0" fontId="1" numFmtId="165" xfId="0" applyAlignment="1" applyBorder="1" applyFont="1" applyNumberFormat="1">
      <alignment horizontal="center" vertical="center"/>
    </xf>
    <xf borderId="15" fillId="9" fontId="1" numFmtId="0" xfId="0" applyAlignment="1" applyBorder="1" applyFont="1">
      <alignment horizontal="center" readingOrder="0" vertical="center"/>
    </xf>
    <xf borderId="16" fillId="9" fontId="1" numFmtId="165" xfId="0" applyAlignment="1" applyBorder="1" applyFont="1" applyNumberFormat="1">
      <alignment horizontal="center" readingOrder="0" vertical="center"/>
    </xf>
    <xf borderId="17" fillId="9" fontId="1" numFmtId="165" xfId="0" applyAlignment="1" applyBorder="1" applyFont="1" applyNumberFormat="1">
      <alignment horizontal="center" readingOrder="0" vertical="center"/>
    </xf>
    <xf borderId="22" fillId="0" fontId="1" numFmtId="0" xfId="0" applyAlignment="1" applyBorder="1" applyFont="1">
      <alignment horizontal="center" vertical="center"/>
    </xf>
    <xf borderId="11" fillId="0" fontId="1" numFmtId="165" xfId="0" applyAlignment="1" applyBorder="1" applyFont="1" applyNumberFormat="1">
      <alignment horizontal="center" vertical="center"/>
    </xf>
    <xf borderId="0" fillId="0" fontId="16" numFmtId="0" xfId="0" applyAlignment="1" applyFont="1">
      <alignment horizontal="center" vertical="center"/>
    </xf>
    <xf borderId="1" fillId="17" fontId="3" numFmtId="0" xfId="0" applyAlignment="1" applyBorder="1" applyFill="1" applyFont="1">
      <alignment horizontal="center" readingOrder="0" vertical="center"/>
    </xf>
    <xf borderId="10" fillId="6" fontId="1" numFmtId="165" xfId="0" applyAlignment="1" applyBorder="1" applyFont="1" applyNumberFormat="1">
      <alignment horizontal="center" readingOrder="0" vertical="center"/>
    </xf>
    <xf borderId="4" fillId="18" fontId="1" numFmtId="0" xfId="0" applyAlignment="1" applyBorder="1" applyFill="1" applyFont="1">
      <alignment horizontal="center" vertical="center"/>
    </xf>
    <xf borderId="5" fillId="18" fontId="1" numFmtId="0" xfId="0" applyAlignment="1" applyBorder="1" applyFont="1">
      <alignment horizontal="center" readingOrder="0" vertical="center"/>
    </xf>
    <xf borderId="6" fillId="18" fontId="1" numFmtId="0" xfId="0" applyAlignment="1" applyBorder="1" applyFont="1">
      <alignment horizontal="center" readingOrder="0" vertical="center"/>
    </xf>
    <xf borderId="10" fillId="0" fontId="15" numFmtId="0" xfId="0" applyAlignment="1" applyBorder="1" applyFont="1">
      <alignment horizontal="center" readingOrder="0"/>
    </xf>
    <xf borderId="10" fillId="0" fontId="17" numFmtId="0" xfId="0" applyBorder="1" applyFont="1"/>
    <xf borderId="18" fillId="17" fontId="1" numFmtId="0" xfId="0" applyAlignment="1" applyBorder="1" applyFont="1">
      <alignment horizontal="center" readingOrder="0" vertical="center"/>
    </xf>
    <xf borderId="19" fillId="17" fontId="1" numFmtId="165" xfId="0" applyAlignment="1" applyBorder="1" applyFont="1" applyNumberFormat="1">
      <alignment horizontal="center" vertical="center"/>
    </xf>
    <xf borderId="20" fillId="17" fontId="1" numFmtId="165" xfId="0" applyAlignment="1" applyBorder="1" applyFont="1" applyNumberFormat="1">
      <alignment horizontal="center" vertical="center"/>
    </xf>
    <xf borderId="2" fillId="0" fontId="1" numFmtId="0" xfId="0" applyAlignment="1" applyBorder="1" applyFont="1">
      <alignment horizontal="center" vertical="center"/>
    </xf>
    <xf borderId="1" fillId="19" fontId="3" numFmtId="0" xfId="0" applyAlignment="1" applyBorder="1" applyFill="1" applyFont="1">
      <alignment horizontal="center" readingOrder="0" vertical="center"/>
    </xf>
    <xf borderId="7" fillId="20" fontId="3" numFmtId="0" xfId="0" applyAlignment="1" applyBorder="1" applyFill="1" applyFont="1">
      <alignment horizontal="center" readingOrder="0" vertical="center"/>
    </xf>
    <xf borderId="0" fillId="20" fontId="1" numFmtId="0" xfId="0" applyAlignment="1" applyFont="1">
      <alignment horizontal="center" readingOrder="0" vertical="center"/>
    </xf>
    <xf borderId="8" fillId="20" fontId="1" numFmtId="0" xfId="0" applyAlignment="1" applyBorder="1" applyFont="1">
      <alignment horizontal="center" readingOrder="0" vertical="center"/>
    </xf>
    <xf borderId="18" fillId="0" fontId="1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readingOrder="0" vertical="center"/>
    </xf>
    <xf borderId="19" fillId="0" fontId="1" numFmtId="0" xfId="0" applyAlignment="1" applyBorder="1" applyFont="1">
      <alignment horizontal="center" vertical="center"/>
    </xf>
    <xf borderId="19" fillId="0" fontId="1" numFmtId="165" xfId="0" applyAlignment="1" applyBorder="1" applyFont="1" applyNumberFormat="1">
      <alignment horizontal="center" vertical="center"/>
    </xf>
    <xf borderId="20" fillId="0" fontId="1" numFmtId="165" xfId="0" applyAlignment="1" applyBorder="1" applyFont="1" applyNumberFormat="1">
      <alignment horizontal="center" vertical="center"/>
    </xf>
    <xf borderId="7" fillId="12" fontId="1" numFmtId="0" xfId="0" applyAlignment="1" applyBorder="1" applyFont="1">
      <alignment horizontal="center" readingOrder="0" vertical="center"/>
    </xf>
    <xf borderId="0" fillId="12" fontId="1" numFmtId="0" xfId="0" applyAlignment="1" applyFont="1">
      <alignment horizontal="center" readingOrder="0" vertical="center"/>
    </xf>
    <xf borderId="0" fillId="12" fontId="1" numFmtId="165" xfId="0" applyAlignment="1" applyFont="1" applyNumberFormat="1">
      <alignment horizontal="center" readingOrder="0" vertical="center"/>
    </xf>
    <xf borderId="8" fillId="12" fontId="1" numFmtId="165" xfId="0" applyAlignment="1" applyBorder="1" applyFont="1" applyNumberFormat="1">
      <alignment horizontal="center" readingOrder="0" vertical="center"/>
    </xf>
    <xf borderId="1" fillId="18" fontId="3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readingOrder="0"/>
    </xf>
    <xf borderId="9" fillId="0" fontId="12" numFmtId="0" xfId="0" applyAlignment="1" applyBorder="1" applyFont="1">
      <alignment readingOrder="0"/>
    </xf>
    <xf borderId="10" fillId="0" fontId="4" numFmtId="0" xfId="0" applyBorder="1" applyFont="1"/>
    <xf borderId="9" fillId="0" fontId="12" numFmtId="0" xfId="0" applyBorder="1" applyFont="1"/>
    <xf borderId="15" fillId="19" fontId="1" numFmtId="0" xfId="0" applyAlignment="1" applyBorder="1" applyFont="1">
      <alignment horizontal="center" readingOrder="0" vertical="center"/>
    </xf>
    <xf borderId="16" fillId="19" fontId="1" numFmtId="165" xfId="0" applyAlignment="1" applyBorder="1" applyFont="1" applyNumberFormat="1">
      <alignment horizontal="center" readingOrder="0" vertical="center"/>
    </xf>
    <xf borderId="17" fillId="19" fontId="1" numFmtId="165" xfId="0" applyAlignment="1" applyBorder="1" applyFont="1" applyNumberFormat="1">
      <alignment horizontal="center" readingOrder="0" vertical="center"/>
    </xf>
    <xf borderId="15" fillId="10" fontId="1" numFmtId="0" xfId="0" applyAlignment="1" applyBorder="1" applyFont="1">
      <alignment horizontal="center" readingOrder="0" vertical="center"/>
    </xf>
    <xf borderId="16" fillId="10" fontId="1" numFmtId="0" xfId="0" applyAlignment="1" applyBorder="1" applyFont="1">
      <alignment horizontal="center" readingOrder="0" vertical="center"/>
    </xf>
    <xf borderId="16" fillId="10" fontId="1" numFmtId="0" xfId="0" applyAlignment="1" applyBorder="1" applyFont="1">
      <alignment horizontal="center" vertical="center"/>
    </xf>
    <xf borderId="16" fillId="10" fontId="1" numFmtId="165" xfId="0" applyAlignment="1" applyBorder="1" applyFont="1" applyNumberFormat="1">
      <alignment horizontal="center" readingOrder="0" vertical="center"/>
    </xf>
    <xf borderId="24" fillId="10" fontId="1" numFmtId="165" xfId="0" applyAlignment="1" applyBorder="1" applyFont="1" applyNumberFormat="1">
      <alignment horizontal="center" readingOrder="0" vertical="center"/>
    </xf>
    <xf borderId="15" fillId="11" fontId="1" numFmtId="0" xfId="0" applyAlignment="1" applyBorder="1" applyFont="1">
      <alignment horizontal="center" readingOrder="0" vertical="center"/>
    </xf>
    <xf borderId="16" fillId="11" fontId="1" numFmtId="165" xfId="0" applyAlignment="1" applyBorder="1" applyFont="1" applyNumberFormat="1">
      <alignment horizontal="center" readingOrder="0" vertical="center"/>
    </xf>
    <xf borderId="17" fillId="11" fontId="1" numFmtId="165" xfId="0" applyAlignment="1" applyBorder="1" applyFont="1" applyNumberFormat="1">
      <alignment horizontal="center" readingOrder="0" vertical="center"/>
    </xf>
    <xf borderId="12" fillId="0" fontId="1" numFmtId="0" xfId="0" applyAlignment="1" applyBorder="1" applyFont="1">
      <alignment horizontal="center" vertical="center"/>
    </xf>
    <xf borderId="13" fillId="0" fontId="4" numFmtId="0" xfId="0" applyBorder="1" applyFont="1"/>
    <xf borderId="1" fillId="3" fontId="18" numFmtId="0" xfId="0" applyAlignment="1" applyBorder="1" applyFont="1">
      <alignment horizontal="center" readingOrder="0" vertical="center"/>
    </xf>
    <xf borderId="2" fillId="3" fontId="18" numFmtId="0" xfId="0" applyAlignment="1" applyBorder="1" applyFont="1">
      <alignment horizontal="center" readingOrder="0" vertical="center"/>
    </xf>
    <xf borderId="0" fillId="0" fontId="19" numFmtId="0" xfId="0" applyFont="1"/>
    <xf borderId="0" fillId="6" fontId="12" numFmtId="0" xfId="0" applyFont="1"/>
    <xf borderId="0" fillId="6" fontId="11" numFmtId="0" xfId="0" applyAlignment="1" applyFont="1">
      <alignment horizontal="center" vertical="center"/>
    </xf>
    <xf borderId="0" fillId="6" fontId="20" numFmtId="0" xfId="0" applyAlignment="1" applyFont="1">
      <alignment horizontal="center" vertical="center"/>
    </xf>
    <xf borderId="0" fillId="6" fontId="21" numFmtId="0" xfId="0" applyAlignment="1" applyFont="1">
      <alignment horizontal="center" vertical="center"/>
    </xf>
    <xf borderId="0" fillId="6" fontId="3" numFmtId="0" xfId="0" applyAlignment="1" applyFont="1">
      <alignment horizontal="center" readingOrder="0" vertical="center"/>
    </xf>
    <xf borderId="7" fillId="6" fontId="3" numFmtId="0" xfId="0" applyAlignment="1" applyBorder="1" applyFont="1">
      <alignment horizontal="center" readingOrder="0" vertical="center"/>
    </xf>
    <xf borderId="7" fillId="13" fontId="1" numFmtId="0" xfId="0" applyAlignment="1" applyBorder="1" applyFont="1">
      <alignment horizontal="center" readingOrder="0" vertical="center"/>
    </xf>
    <xf borderId="7" fillId="14" fontId="1" numFmtId="0" xfId="0" applyAlignment="1" applyBorder="1" applyFont="1">
      <alignment horizontal="center" readingOrder="0" vertical="center"/>
    </xf>
    <xf borderId="7" fillId="15" fontId="1" numFmtId="0" xfId="0" applyAlignment="1" applyBorder="1" applyFont="1">
      <alignment horizontal="center" readingOrder="0" vertical="center"/>
    </xf>
    <xf borderId="7" fillId="16" fontId="1" numFmtId="0" xfId="0" applyAlignment="1" applyBorder="1" applyFont="1">
      <alignment horizontal="center" readingOrder="0" vertical="center"/>
    </xf>
    <xf borderId="7" fillId="20" fontId="1" numFmtId="0" xfId="0" applyAlignment="1" applyBorder="1" applyFont="1">
      <alignment horizontal="center" readingOrder="0" vertical="center"/>
    </xf>
    <xf borderId="0" fillId="0" fontId="22" numFmtId="0" xfId="0" applyAlignment="1" applyFont="1">
      <alignment horizontal="center" readingOrder="0" vertical="center"/>
    </xf>
    <xf borderId="0" fillId="6" fontId="22" numFmtId="0" xfId="0" applyAlignment="1" applyFont="1">
      <alignment horizontal="center" readingOrder="0" vertical="center"/>
    </xf>
    <xf borderId="5" fillId="8" fontId="1" numFmtId="165" xfId="0" applyAlignment="1" applyBorder="1" applyFont="1" applyNumberFormat="1">
      <alignment horizontal="center" readingOrder="0" vertical="center"/>
    </xf>
    <xf borderId="6" fillId="8" fontId="1" numFmtId="165" xfId="0" applyAlignment="1" applyBorder="1" applyFont="1" applyNumberFormat="1">
      <alignment horizontal="center" readingOrder="0" vertical="center"/>
    </xf>
    <xf borderId="11" fillId="21" fontId="1" numFmtId="165" xfId="0" applyAlignment="1" applyBorder="1" applyFill="1" applyFont="1" applyNumberFormat="1">
      <alignment horizontal="center" readingOrder="0" vertical="center"/>
    </xf>
    <xf borderId="6" fillId="21" fontId="1" numFmtId="165" xfId="0" applyAlignment="1" applyBorder="1" applyFont="1" applyNumberFormat="1">
      <alignment horizontal="center" vertical="center"/>
    </xf>
    <xf borderId="0" fillId="6" fontId="11" numFmtId="165" xfId="0" applyAlignment="1" applyFont="1" applyNumberFormat="1">
      <alignment horizontal="center" readingOrder="0" vertical="center"/>
    </xf>
    <xf borderId="0" fillId="6" fontId="11" numFmtId="165" xfId="0" applyAlignment="1" applyFont="1" applyNumberFormat="1">
      <alignment horizontal="center" vertical="center"/>
    </xf>
    <xf borderId="10" fillId="8" fontId="1" numFmtId="165" xfId="0" applyAlignment="1" applyBorder="1" applyFont="1" applyNumberFormat="1">
      <alignment horizontal="center" readingOrder="0" vertical="center"/>
    </xf>
    <xf borderId="10" fillId="8" fontId="12" numFmtId="165" xfId="0" applyAlignment="1" applyBorder="1" applyFont="1" applyNumberFormat="1">
      <alignment horizontal="center" readingOrder="0"/>
    </xf>
    <xf borderId="0" fillId="6" fontId="16" numFmtId="0" xfId="0" applyAlignment="1" applyFont="1">
      <alignment horizontal="center" vertical="center"/>
    </xf>
    <xf borderId="7" fillId="10" fontId="1" numFmtId="0" xfId="0" applyAlignment="1" applyBorder="1" applyFont="1">
      <alignment horizontal="center" readingOrder="0" vertical="center"/>
    </xf>
    <xf borderId="0" fillId="10" fontId="1" numFmtId="165" xfId="0" applyAlignment="1" applyFont="1" applyNumberFormat="1">
      <alignment horizontal="center" readingOrder="0" vertical="center"/>
    </xf>
    <xf borderId="25" fillId="10" fontId="1" numFmtId="165" xfId="0" applyAlignment="1" applyBorder="1" applyFont="1" applyNumberFormat="1">
      <alignment horizontal="center" readingOrder="0" vertical="center"/>
    </xf>
    <xf borderId="0" fillId="11" fontId="1" numFmtId="165" xfId="0" applyAlignment="1" applyFont="1" applyNumberFormat="1">
      <alignment horizontal="center" readingOrder="0" vertical="center"/>
    </xf>
    <xf borderId="8" fillId="11" fontId="1" numFmtId="165" xfId="0" applyAlignment="1" applyBorder="1" applyFont="1" applyNumberFormat="1">
      <alignment horizontal="center" readingOrder="0" vertical="center"/>
    </xf>
    <xf borderId="15" fillId="12" fontId="1" numFmtId="0" xfId="0" applyAlignment="1" applyBorder="1" applyFont="1">
      <alignment horizontal="center" readingOrder="0" vertical="center"/>
    </xf>
    <xf borderId="16" fillId="12" fontId="1" numFmtId="165" xfId="0" applyAlignment="1" applyBorder="1" applyFont="1" applyNumberFormat="1">
      <alignment horizontal="center" readingOrder="0" vertical="center"/>
    </xf>
    <xf borderId="2" fillId="6" fontId="1" numFmtId="0" xfId="0" applyAlignment="1" applyBorder="1" applyFont="1">
      <alignment horizontal="center" readingOrder="0" vertical="center"/>
    </xf>
    <xf borderId="0" fillId="6" fontId="1" numFmtId="0" xfId="0" applyAlignment="1" applyFont="1">
      <alignment horizontal="center" readingOrder="0" vertical="center"/>
    </xf>
    <xf borderId="2" fillId="6" fontId="1" numFmtId="0" xfId="0" applyAlignment="1" applyBorder="1" applyFont="1">
      <alignment horizontal="center" vertical="center"/>
    </xf>
    <xf borderId="2" fillId="6" fontId="1" numFmtId="165" xfId="0" applyAlignment="1" applyBorder="1" applyFont="1" applyNumberFormat="1">
      <alignment horizontal="center" vertical="center"/>
    </xf>
    <xf borderId="0" fillId="6" fontId="1" numFmtId="165" xfId="0" applyAlignment="1" applyFont="1" applyNumberFormat="1">
      <alignment horizontal="center" vertical="center"/>
    </xf>
    <xf borderId="0" fillId="6" fontId="1" numFmtId="165" xfId="0" applyAlignment="1" applyFont="1" applyNumberFormat="1">
      <alignment horizontal="center" readingOrder="0" vertical="center"/>
    </xf>
    <xf borderId="0" fillId="0" fontId="1" numFmtId="165" xfId="0" applyAlignment="1" applyFont="1" applyNumberFormat="1">
      <alignment horizontal="center" readingOrder="0" vertical="center"/>
    </xf>
    <xf borderId="5" fillId="0" fontId="15" numFmtId="0" xfId="0" applyAlignment="1" applyBorder="1" applyFont="1">
      <alignment horizontal="center" readingOrder="0"/>
    </xf>
    <xf borderId="13" fillId="6" fontId="1" numFmtId="165" xfId="0" applyAlignment="1" applyBorder="1" applyFont="1" applyNumberFormat="1">
      <alignment horizontal="center" readingOrder="0" vertical="center"/>
    </xf>
    <xf borderId="19" fillId="0" fontId="17" numFmtId="0" xfId="0" applyBorder="1" applyFont="1"/>
    <xf borderId="13" fillId="22" fontId="1" numFmtId="165" xfId="0" applyAlignment="1" applyBorder="1" applyFill="1" applyFont="1" applyNumberFormat="1">
      <alignment horizontal="center" readingOrder="0" vertical="center"/>
    </xf>
    <xf borderId="0" fillId="0" fontId="12" numFmtId="0" xfId="0" applyAlignment="1" applyFont="1">
      <alignment readingOrder="0"/>
    </xf>
  </cellXfs>
  <cellStyles count="1">
    <cellStyle xfId="0" name="Normal" builtinId="0"/>
  </cellStyles>
  <dxfs count="6">
    <dxf>
      <font>
        <color rgb="FF0B8043"/>
      </font>
      <fill>
        <patternFill patternType="none"/>
      </fill>
      <border/>
    </dxf>
    <dxf>
      <font>
        <color rgb="FFC53929"/>
      </font>
      <fill>
        <patternFill patternType="none"/>
      </fill>
      <border/>
    </dxf>
    <dxf>
      <font>
        <color rgb="FFF09300"/>
      </font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000000"/>
                </a:solidFill>
                <a:latin typeface="+mn-lt"/>
              </a:defRPr>
            </a:pPr>
            <a:r>
              <a:rPr b="1" sz="1400">
                <a:solidFill>
                  <a:srgbClr val="000000"/>
                </a:solidFill>
                <a:latin typeface="+mn-lt"/>
              </a:rPr>
              <a:t>Budget Vs Actual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Budget</c:v>
          </c:tx>
          <c:spPr>
            <a:solidFill>
              <a:srgbClr val="B4A7D6"/>
            </a:solidFill>
            <a:ln cmpd="sng">
              <a:solidFill>
                <a:srgbClr val="B4A7D6">
                  <a:alpha val="100000"/>
                </a:srgbClr>
              </a:solidFill>
              <a:prstDash val="solid"/>
            </a:ln>
          </c:spPr>
          <c:dPt>
            <c:idx val="0"/>
            <c:spPr>
              <a:solidFill>
                <a:srgbClr val="B4A7D6"/>
              </a:solidFill>
              <a:ln cmpd="sng">
                <a:solidFill>
                  <a:srgbClr val="B4A7D6">
                    <a:alpha val="100000"/>
                  </a:srgbClr>
                </a:solidFill>
              </a:ln>
            </c:spPr>
          </c:dPt>
          <c:dPt>
            <c:idx val="1"/>
            <c:spPr>
              <a:solidFill>
                <a:srgbClr val="B4A7D6"/>
              </a:solidFill>
              <a:ln cmpd="sng">
                <a:solidFill>
                  <a:srgbClr val="B4A7D6">
                    <a:alpha val="100000"/>
                  </a:srgbClr>
                </a:solidFill>
              </a:ln>
            </c:spPr>
          </c:dPt>
          <c:dPt>
            <c:idx val="3"/>
            <c:spPr>
              <a:solidFill>
                <a:srgbClr val="B4A7D6"/>
              </a:solidFill>
              <a:ln cmpd="sng">
                <a:solidFill>
                  <a:srgbClr val="B4A7D6">
                    <a:alpha val="100000"/>
                  </a:srgbClr>
                </a:solidFill>
              </a:ln>
            </c:spPr>
          </c:dPt>
          <c:dPt>
            <c:idx val="4"/>
            <c:spPr>
              <a:solidFill>
                <a:srgbClr val="B4A7D6"/>
              </a:solidFill>
              <a:ln cmpd="sng">
                <a:solidFill>
                  <a:srgbClr val="B4A7D6">
                    <a:alpha val="100000"/>
                  </a:srgbClr>
                </a:solidFill>
              </a:ln>
            </c:spPr>
          </c:dPt>
          <c:cat>
            <c:strRef>
              <c:f>(Sample!$B$18,Sample!$C$18,Sample!$D$18)</c:f>
            </c:strRef>
          </c:cat>
          <c:val>
            <c:numRef>
              <c:f>(Sample!$B$18,Sample!$C$18,Sample!$D$18)</c:f>
              <c:numCache/>
            </c:numRef>
          </c:val>
        </c:ser>
        <c:axId val="627151738"/>
        <c:axId val="643702554"/>
      </c:barChart>
      <c:catAx>
        <c:axId val="62715173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Cashflow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3702554"/>
      </c:catAx>
      <c:valAx>
        <c:axId val="6437025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7151738"/>
        <c:crosses val="max"/>
      </c:valAx>
    </c:plotArea>
    <c:legend>
      <c:legendPos val="r"/>
      <c:legendEntry>
        <c:idx val="0"/>
        <c:txPr>
          <a:bodyPr/>
          <a:lstStyle/>
          <a:p>
            <a:pPr lvl="0">
              <a:defRPr>
                <a:solidFill>
                  <a:srgbClr val="000000"/>
                </a:solidFill>
              </a:defRPr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000000"/>
                </a:solidFill>
                <a:latin typeface="+mn-lt"/>
              </a:defRPr>
            </a:pPr>
            <a:r>
              <a:rPr b="1" sz="1400">
                <a:solidFill>
                  <a:srgbClr val="000000"/>
                </a:solidFill>
                <a:latin typeface="+mn-lt"/>
              </a:rPr>
              <a:t>Actual Spending Breakdown 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B6D7A8"/>
              </a:solidFill>
            </c:spPr>
          </c:dPt>
          <c:dPt>
            <c:idx val="1"/>
            <c:spPr>
              <a:solidFill>
                <a:srgbClr val="DD7E6B"/>
              </a:solidFill>
            </c:spPr>
          </c:dPt>
          <c:dPt>
            <c:idx val="2"/>
            <c:spPr>
              <a:solidFill>
                <a:srgbClr val="F4CCCC"/>
              </a:solidFill>
            </c:spPr>
          </c:dPt>
          <c:dPt>
            <c:idx val="3"/>
            <c:spPr>
              <a:solidFill>
                <a:srgbClr val="76A5AF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Sample!$AE$12:$AE$15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000">
                <a:solidFill>
                  <a:srgbClr val="000000"/>
                </a:solidFill>
                <a:latin typeface="Georgia"/>
              </a:defRPr>
            </a:pPr>
            <a:r>
              <a:rPr b="0" sz="2000">
                <a:solidFill>
                  <a:srgbClr val="000000"/>
                </a:solidFill>
                <a:latin typeface="Georgia"/>
              </a:rPr>
              <a:t>Left To Spend</a:t>
            </a:r>
          </a:p>
        </c:rich>
      </c:tx>
      <c:layout>
        <c:manualLayout>
          <c:xMode val="edge"/>
          <c:yMode val="edge"/>
          <c:x val="0.0014161220043572992"/>
          <c:y val="0.05518134715025907"/>
        </c:manualLayout>
      </c:layout>
      <c:overlay val="0"/>
    </c:title>
    <c:plotArea>
      <c:layout>
        <c:manualLayout>
          <c:xMode val="edge"/>
          <c:yMode val="edge"/>
          <c:x val="0.21332989336085317"/>
          <c:y val="0.2357512953367876"/>
          <c:w val="0.5241428735236782"/>
          <c:h val="0.659022078086261"/>
        </c:manualLayout>
      </c:layout>
      <c:doughnutChart>
        <c:varyColors val="1"/>
        <c:ser>
          <c:idx val="0"/>
          <c:order val="0"/>
          <c:dPt>
            <c:idx val="0"/>
            <c:spPr>
              <a:solidFill>
                <a:srgbClr val="B4A7D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Sample!$C$10:$D$10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60"/>
      </c:doughnutChart>
    </c:plotArea>
    <c:legend>
      <c:legendPos val="r"/>
      <c:legendEntry>
        <c:idx val="0"/>
        <c:txPr>
          <a:bodyPr/>
          <a:lstStyle/>
          <a:p>
            <a:pPr lvl="0">
              <a:defRPr sz="1400"/>
            </a:pPr>
          </a:p>
        </c:txPr>
      </c:legendEntry>
      <c:legendEntry>
        <c:idx val="1"/>
        <c:txPr>
          <a:bodyPr/>
          <a:lstStyle/>
          <a:p>
            <a:pPr lvl="0">
              <a:defRPr sz="1400"/>
            </a:pPr>
          </a:p>
        </c:txPr>
      </c:legendEntry>
      <c:overlay val="0"/>
      <c:txPr>
        <a:bodyPr/>
        <a:lstStyle/>
        <a:p>
          <a:pPr lvl="0">
            <a:defRPr b="1">
              <a:solidFill>
                <a:srgbClr val="000000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000000"/>
                </a:solidFill>
                <a:latin typeface="+mn-lt"/>
              </a:defRPr>
            </a:pPr>
            <a:r>
              <a:rPr b="1" sz="1400">
                <a:solidFill>
                  <a:srgbClr val="000000"/>
                </a:solidFill>
                <a:latin typeface="+mn-lt"/>
              </a:rPr>
              <a:t>Budget Vs Actual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Budget</c:v>
          </c:tx>
          <c:spPr>
            <a:solidFill>
              <a:srgbClr val="B4A7D6"/>
            </a:solidFill>
            <a:ln cmpd="sng">
              <a:solidFill>
                <a:srgbClr val="B4A7D6">
                  <a:alpha val="100000"/>
                </a:srgbClr>
              </a:solidFill>
              <a:prstDash val="solid"/>
            </a:ln>
          </c:spPr>
          <c:dPt>
            <c:idx val="0"/>
            <c:spPr>
              <a:solidFill>
                <a:srgbClr val="B4A7D6"/>
              </a:solidFill>
              <a:ln cmpd="sng">
                <a:solidFill>
                  <a:srgbClr val="B4A7D6">
                    <a:alpha val="100000"/>
                  </a:srgbClr>
                </a:solidFill>
              </a:ln>
            </c:spPr>
          </c:dPt>
          <c:dPt>
            <c:idx val="1"/>
            <c:spPr>
              <a:solidFill>
                <a:srgbClr val="B4A7D6"/>
              </a:solidFill>
              <a:ln cmpd="sng">
                <a:solidFill>
                  <a:srgbClr val="B4A7D6">
                    <a:alpha val="100000"/>
                  </a:srgbClr>
                </a:solidFill>
              </a:ln>
            </c:spPr>
          </c:dPt>
          <c:dPt>
            <c:idx val="3"/>
            <c:spPr>
              <a:solidFill>
                <a:srgbClr val="B4A7D6"/>
              </a:solidFill>
              <a:ln cmpd="sng">
                <a:solidFill>
                  <a:srgbClr val="B4A7D6">
                    <a:alpha val="100000"/>
                  </a:srgbClr>
                </a:solidFill>
              </a:ln>
            </c:spPr>
          </c:dPt>
          <c:dPt>
            <c:idx val="4"/>
            <c:spPr>
              <a:solidFill>
                <a:srgbClr val="B4A7D6"/>
              </a:solidFill>
              <a:ln cmpd="sng">
                <a:solidFill>
                  <a:srgbClr val="B4A7D6">
                    <a:alpha val="100000"/>
                  </a:srgbClr>
                </a:solidFill>
              </a:ln>
            </c:spPr>
          </c:dPt>
          <c:cat>
            <c:strRef>
              <c:f>(Annual!$B$18,Annual!$C$18,Annual!$D$18)</c:f>
            </c:strRef>
          </c:cat>
          <c:val>
            <c:numRef>
              <c:f>(Annual!$B$18,Annual!$C$18,Annual!$D$18)</c:f>
              <c:numCache/>
            </c:numRef>
          </c:val>
        </c:ser>
        <c:axId val="1594429987"/>
        <c:axId val="68380724"/>
      </c:barChart>
      <c:catAx>
        <c:axId val="159442998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Cashflow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380724"/>
      </c:catAx>
      <c:valAx>
        <c:axId val="683807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4429987"/>
        <c:crosses val="max"/>
      </c:valAx>
    </c:plotArea>
    <c:legend>
      <c:legendPos val="r"/>
      <c:legendEntry>
        <c:idx val="0"/>
        <c:txPr>
          <a:bodyPr/>
          <a:lstStyle/>
          <a:p>
            <a:pPr lvl="0">
              <a:defRPr>
                <a:solidFill>
                  <a:srgbClr val="000000"/>
                </a:solidFill>
              </a:defRPr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000000"/>
                </a:solidFill>
                <a:latin typeface="+mn-lt"/>
              </a:defRPr>
            </a:pPr>
            <a:r>
              <a:rPr b="1" sz="1400">
                <a:solidFill>
                  <a:srgbClr val="000000"/>
                </a:solidFill>
                <a:latin typeface="+mn-lt"/>
              </a:rPr>
              <a:t>Actual Spending Breakdown 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B6D7A8"/>
              </a:solidFill>
            </c:spPr>
          </c:dPt>
          <c:dPt>
            <c:idx val="1"/>
            <c:spPr>
              <a:solidFill>
                <a:srgbClr val="DD7E6B"/>
              </a:solidFill>
            </c:spPr>
          </c:dPt>
          <c:dPt>
            <c:idx val="2"/>
            <c:spPr>
              <a:solidFill>
                <a:srgbClr val="F4CCCC"/>
              </a:solidFill>
            </c:spPr>
          </c:dPt>
          <c:dPt>
            <c:idx val="3"/>
            <c:spPr>
              <a:solidFill>
                <a:srgbClr val="76A5AF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Annual!$AE$12:$AE$15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Annual!$AE$23</c:f>
            </c:strRef>
          </c:tx>
          <c:spPr>
            <a:solidFill>
              <a:srgbClr val="A64D79"/>
            </a:solidFill>
            <a:ln cmpd="sng">
              <a:solidFill>
                <a:schemeClr val="lt1"/>
              </a:solidFill>
            </a:ln>
          </c:spPr>
          <c:cat>
            <c:strRef>
              <c:f>Annual!$AC$24:$AC$35</c:f>
            </c:strRef>
          </c:cat>
          <c:val>
            <c:numRef>
              <c:f>Annual!$AE$24:$AE$35</c:f>
              <c:numCache/>
            </c:numRef>
          </c:val>
        </c:ser>
        <c:axId val="802307727"/>
        <c:axId val="235384323"/>
      </c:barChart>
      <c:lineChart>
        <c:varyColors val="0"/>
        <c:ser>
          <c:idx val="1"/>
          <c:order val="1"/>
          <c:tx>
            <c:strRef>
              <c:f>Annual!$AD$23</c:f>
            </c:strRef>
          </c:tx>
          <c:spPr>
            <a:ln cmpd="sng">
              <a:solidFill>
                <a:srgbClr val="0B8043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Annual!$AC$24:$AC$35</c:f>
            </c:strRef>
          </c:cat>
          <c:val>
            <c:numRef>
              <c:f>Annual!$AD$24:$AD$35</c:f>
              <c:numCache/>
            </c:numRef>
          </c:val>
          <c:smooth val="0"/>
        </c:ser>
        <c:axId val="802307727"/>
        <c:axId val="235384323"/>
      </c:lineChart>
      <c:catAx>
        <c:axId val="8023077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5384323"/>
      </c:catAx>
      <c:valAx>
        <c:axId val="2353843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23077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000000"/>
                </a:solidFill>
                <a:latin typeface="+mn-lt"/>
              </a:defRPr>
            </a:pPr>
            <a:r>
              <a:rPr b="1" sz="1400">
                <a:solidFill>
                  <a:srgbClr val="000000"/>
                </a:solidFill>
                <a:latin typeface="+mn-lt"/>
              </a:rPr>
              <a:t>Budget Vs Actual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Budget</c:v>
          </c:tx>
          <c:spPr>
            <a:solidFill>
              <a:srgbClr val="B4A7D6"/>
            </a:solidFill>
            <a:ln cmpd="sng">
              <a:solidFill>
                <a:srgbClr val="B4A7D6">
                  <a:alpha val="100000"/>
                </a:srgbClr>
              </a:solidFill>
              <a:prstDash val="solid"/>
            </a:ln>
          </c:spPr>
          <c:dPt>
            <c:idx val="0"/>
            <c:spPr>
              <a:solidFill>
                <a:srgbClr val="B4A7D6"/>
              </a:solidFill>
              <a:ln cmpd="sng">
                <a:solidFill>
                  <a:srgbClr val="B4A7D6">
                    <a:alpha val="100000"/>
                  </a:srgbClr>
                </a:solidFill>
              </a:ln>
            </c:spPr>
          </c:dPt>
          <c:dPt>
            <c:idx val="1"/>
            <c:spPr>
              <a:solidFill>
                <a:srgbClr val="B4A7D6"/>
              </a:solidFill>
              <a:ln cmpd="sng">
                <a:solidFill>
                  <a:srgbClr val="B4A7D6">
                    <a:alpha val="100000"/>
                  </a:srgbClr>
                </a:solidFill>
              </a:ln>
            </c:spPr>
          </c:dPt>
          <c:dPt>
            <c:idx val="3"/>
            <c:spPr>
              <a:solidFill>
                <a:srgbClr val="B4A7D6"/>
              </a:solidFill>
              <a:ln cmpd="sng">
                <a:solidFill>
                  <a:srgbClr val="B4A7D6">
                    <a:alpha val="100000"/>
                  </a:srgbClr>
                </a:solidFill>
              </a:ln>
            </c:spPr>
          </c:dPt>
          <c:dPt>
            <c:idx val="4"/>
            <c:spPr>
              <a:solidFill>
                <a:srgbClr val="B4A7D6"/>
              </a:solidFill>
              <a:ln cmpd="sng">
                <a:solidFill>
                  <a:srgbClr val="B4A7D6">
                    <a:alpha val="100000"/>
                  </a:srgbClr>
                </a:solidFill>
              </a:ln>
            </c:spPr>
          </c:dPt>
          <c:cat>
            <c:strRef>
              <c:f>(January!$B$18,January!$C$18,January!$D$18)</c:f>
            </c:strRef>
          </c:cat>
          <c:val>
            <c:numRef>
              <c:f>(January!$B$18,January!$C$18,January!$D$18)</c:f>
              <c:numCache/>
            </c:numRef>
          </c:val>
        </c:ser>
        <c:axId val="777806576"/>
        <c:axId val="920665135"/>
      </c:barChart>
      <c:catAx>
        <c:axId val="77780657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Cashflow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0665135"/>
      </c:catAx>
      <c:valAx>
        <c:axId val="9206651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7806576"/>
        <c:crosses val="max"/>
      </c:valAx>
    </c:plotArea>
    <c:legend>
      <c:legendPos val="r"/>
      <c:legendEntry>
        <c:idx val="0"/>
        <c:txPr>
          <a:bodyPr/>
          <a:lstStyle/>
          <a:p>
            <a:pPr lvl="0">
              <a:defRPr>
                <a:solidFill>
                  <a:srgbClr val="000000"/>
                </a:solidFill>
              </a:defRPr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000000"/>
                </a:solidFill>
                <a:latin typeface="+mn-lt"/>
              </a:defRPr>
            </a:pPr>
            <a:r>
              <a:rPr b="1" sz="1400">
                <a:solidFill>
                  <a:srgbClr val="000000"/>
                </a:solidFill>
                <a:latin typeface="+mn-lt"/>
              </a:rPr>
              <a:t>Actual Breakdown of Income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B6D7A8"/>
              </a:solidFill>
            </c:spPr>
          </c:dPt>
          <c:dPt>
            <c:idx val="1"/>
            <c:spPr>
              <a:solidFill>
                <a:srgbClr val="DD7E6B"/>
              </a:solidFill>
            </c:spPr>
          </c:dPt>
          <c:dPt>
            <c:idx val="2"/>
            <c:spPr>
              <a:solidFill>
                <a:srgbClr val="F4CCCC"/>
              </a:solidFill>
            </c:spPr>
          </c:dPt>
          <c:dPt>
            <c:idx val="3"/>
            <c:spPr>
              <a:solidFill>
                <a:srgbClr val="76A5AF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January!$AE$12:$AE$15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000">
                <a:solidFill>
                  <a:srgbClr val="000000"/>
                </a:solidFill>
                <a:latin typeface="Georgia"/>
              </a:defRPr>
            </a:pPr>
            <a:r>
              <a:rPr b="0" sz="2000">
                <a:solidFill>
                  <a:srgbClr val="000000"/>
                </a:solidFill>
                <a:latin typeface="Georgia"/>
              </a:rPr>
              <a:t>Left To Spend</a:t>
            </a:r>
          </a:p>
        </c:rich>
      </c:tx>
      <c:layout>
        <c:manualLayout>
          <c:xMode val="edge"/>
          <c:yMode val="edge"/>
          <c:x val="0.0014161220043572992"/>
          <c:y val="0.05518134715025907"/>
        </c:manualLayout>
      </c:layout>
      <c:overlay val="0"/>
    </c:title>
    <c:plotArea>
      <c:layout>
        <c:manualLayout>
          <c:xMode val="edge"/>
          <c:yMode val="edge"/>
          <c:x val="0.21332989336085317"/>
          <c:y val="0.2357512953367876"/>
          <c:w val="0.5241428735236782"/>
          <c:h val="0.659022078086261"/>
        </c:manualLayout>
      </c:layout>
      <c:doughnutChart>
        <c:varyColors val="1"/>
        <c:ser>
          <c:idx val="0"/>
          <c:order val="0"/>
          <c:dPt>
            <c:idx val="0"/>
            <c:spPr>
              <a:solidFill>
                <a:srgbClr val="B4A7D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January!$C$10:$D$10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60"/>
      </c:doughnutChart>
    </c:plotArea>
    <c:legend>
      <c:legendPos val="r"/>
      <c:legendEntry>
        <c:idx val="0"/>
        <c:txPr>
          <a:bodyPr/>
          <a:lstStyle/>
          <a:p>
            <a:pPr lvl="0">
              <a:defRPr sz="1400"/>
            </a:pPr>
          </a:p>
        </c:txPr>
      </c:legendEntry>
      <c:legendEntry>
        <c:idx val="1"/>
        <c:txPr>
          <a:bodyPr/>
          <a:lstStyle/>
          <a:p>
            <a:pPr lvl="0">
              <a:defRPr sz="1400"/>
            </a:pPr>
          </a:p>
        </c:txPr>
      </c:legendEntry>
      <c:overlay val="0"/>
      <c:txPr>
        <a:bodyPr/>
        <a:lstStyle/>
        <a:p>
          <a:pPr lvl="0">
            <a:defRPr b="1">
              <a:solidFill>
                <a:srgbClr val="000000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000000"/>
                </a:solidFill>
                <a:latin typeface="+mn-lt"/>
              </a:defRPr>
            </a:pPr>
            <a:r>
              <a:rPr b="1" sz="1400">
                <a:solidFill>
                  <a:srgbClr val="000000"/>
                </a:solidFill>
                <a:latin typeface="+mn-lt"/>
              </a:rPr>
              <a:t>Budget Vs Actual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Budget</c:v>
          </c:tx>
          <c:spPr>
            <a:solidFill>
              <a:srgbClr val="B4A7D6"/>
            </a:solidFill>
            <a:ln cmpd="sng">
              <a:solidFill>
                <a:srgbClr val="B4A7D6">
                  <a:alpha val="100000"/>
                </a:srgbClr>
              </a:solidFill>
              <a:prstDash val="solid"/>
            </a:ln>
          </c:spPr>
          <c:dPt>
            <c:idx val="0"/>
            <c:spPr>
              <a:solidFill>
                <a:srgbClr val="B4A7D6"/>
              </a:solidFill>
              <a:ln cmpd="sng">
                <a:solidFill>
                  <a:srgbClr val="B4A7D6">
                    <a:alpha val="100000"/>
                  </a:srgbClr>
                </a:solidFill>
              </a:ln>
            </c:spPr>
          </c:dPt>
          <c:dPt>
            <c:idx val="1"/>
            <c:spPr>
              <a:solidFill>
                <a:srgbClr val="B4A7D6"/>
              </a:solidFill>
              <a:ln cmpd="sng">
                <a:solidFill>
                  <a:srgbClr val="B4A7D6">
                    <a:alpha val="100000"/>
                  </a:srgbClr>
                </a:solidFill>
              </a:ln>
            </c:spPr>
          </c:dPt>
          <c:dPt>
            <c:idx val="3"/>
            <c:spPr>
              <a:solidFill>
                <a:srgbClr val="B4A7D6"/>
              </a:solidFill>
              <a:ln cmpd="sng">
                <a:solidFill>
                  <a:srgbClr val="B4A7D6">
                    <a:alpha val="100000"/>
                  </a:srgbClr>
                </a:solidFill>
              </a:ln>
            </c:spPr>
          </c:dPt>
          <c:dPt>
            <c:idx val="4"/>
            <c:spPr>
              <a:solidFill>
                <a:srgbClr val="B4A7D6"/>
              </a:solidFill>
              <a:ln cmpd="sng">
                <a:solidFill>
                  <a:srgbClr val="B4A7D6">
                    <a:alpha val="100000"/>
                  </a:srgbClr>
                </a:solidFill>
              </a:ln>
            </c:spPr>
          </c:dPt>
          <c:cat>
            <c:strRef>
              <c:f>(Feburary!$B$18,Feburary!$C$18,Feburary!$D$18)</c:f>
            </c:strRef>
          </c:cat>
          <c:val>
            <c:numRef>
              <c:f>(Feburary!$B$18,Feburary!$C$18,Feburary!$D$18)</c:f>
              <c:numCache/>
            </c:numRef>
          </c:val>
        </c:ser>
        <c:axId val="1889081746"/>
        <c:axId val="1842899532"/>
      </c:barChart>
      <c:catAx>
        <c:axId val="188908174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Cashflow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2899532"/>
      </c:catAx>
      <c:valAx>
        <c:axId val="18428995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9081746"/>
        <c:crosses val="max"/>
      </c:valAx>
    </c:plotArea>
    <c:legend>
      <c:legendPos val="r"/>
      <c:legendEntry>
        <c:idx val="0"/>
        <c:txPr>
          <a:bodyPr/>
          <a:lstStyle/>
          <a:p>
            <a:pPr lvl="0">
              <a:defRPr>
                <a:solidFill>
                  <a:srgbClr val="000000"/>
                </a:solidFill>
              </a:defRPr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000000"/>
                </a:solidFill>
                <a:latin typeface="+mn-lt"/>
              </a:defRPr>
            </a:pPr>
            <a:r>
              <a:rPr b="1" sz="1400">
                <a:solidFill>
                  <a:srgbClr val="000000"/>
                </a:solidFill>
                <a:latin typeface="+mn-lt"/>
              </a:rPr>
              <a:t>Actual Breakdown of Income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B6D7A8"/>
              </a:solidFill>
            </c:spPr>
          </c:dPt>
          <c:dPt>
            <c:idx val="1"/>
            <c:spPr>
              <a:solidFill>
                <a:srgbClr val="DD7E6B"/>
              </a:solidFill>
            </c:spPr>
          </c:dPt>
          <c:dPt>
            <c:idx val="2"/>
            <c:spPr>
              <a:solidFill>
                <a:srgbClr val="F4CCCC"/>
              </a:solidFill>
            </c:spPr>
          </c:dPt>
          <c:dPt>
            <c:idx val="3"/>
            <c:spPr>
              <a:solidFill>
                <a:srgbClr val="76A5AF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Feburary!$AE$12:$AE$15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000">
                <a:solidFill>
                  <a:srgbClr val="000000"/>
                </a:solidFill>
                <a:latin typeface="Georgia"/>
              </a:defRPr>
            </a:pPr>
            <a:r>
              <a:rPr b="0" sz="2000">
                <a:solidFill>
                  <a:srgbClr val="000000"/>
                </a:solidFill>
                <a:latin typeface="Georgia"/>
              </a:rPr>
              <a:t>Left To Spend</a:t>
            </a:r>
          </a:p>
        </c:rich>
      </c:tx>
      <c:layout>
        <c:manualLayout>
          <c:xMode val="edge"/>
          <c:yMode val="edge"/>
          <c:x val="0.0014161220043572992"/>
          <c:y val="0.05518134715025907"/>
        </c:manualLayout>
      </c:layout>
      <c:overlay val="0"/>
    </c:title>
    <c:plotArea>
      <c:layout>
        <c:manualLayout>
          <c:xMode val="edge"/>
          <c:yMode val="edge"/>
          <c:x val="0.21332989336085317"/>
          <c:y val="0.2357512953367876"/>
          <c:w val="0.5241428735236782"/>
          <c:h val="0.659022078086261"/>
        </c:manualLayout>
      </c:layout>
      <c:doughnutChart>
        <c:varyColors val="1"/>
        <c:ser>
          <c:idx val="0"/>
          <c:order val="0"/>
          <c:dPt>
            <c:idx val="0"/>
            <c:spPr>
              <a:solidFill>
                <a:srgbClr val="B4A7D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Feburary!$C$10:$D$10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60"/>
      </c:doughnutChart>
    </c:plotArea>
    <c:legend>
      <c:legendPos val="r"/>
      <c:legendEntry>
        <c:idx val="0"/>
        <c:txPr>
          <a:bodyPr/>
          <a:lstStyle/>
          <a:p>
            <a:pPr lvl="0">
              <a:defRPr sz="1400"/>
            </a:pPr>
          </a:p>
        </c:txPr>
      </c:legendEntry>
      <c:legendEntry>
        <c:idx val="1"/>
        <c:txPr>
          <a:bodyPr/>
          <a:lstStyle/>
          <a:p>
            <a:pPr lvl="0">
              <a:defRPr sz="1400"/>
            </a:pPr>
          </a:p>
        </c:txPr>
      </c:legendEntry>
      <c:overlay val="0"/>
      <c:txPr>
        <a:bodyPr/>
        <a:lstStyle/>
        <a:p>
          <a:pPr lvl="0">
            <a:defRPr b="1">
              <a:solidFill>
                <a:srgbClr val="000000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000000"/>
                </a:solidFill>
                <a:latin typeface="+mn-lt"/>
              </a:defRPr>
            </a:pPr>
            <a:r>
              <a:rPr b="1" sz="1400">
                <a:solidFill>
                  <a:srgbClr val="000000"/>
                </a:solidFill>
                <a:latin typeface="+mn-lt"/>
              </a:rPr>
              <a:t>Budget Vs Actual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Budget</c:v>
          </c:tx>
          <c:spPr>
            <a:solidFill>
              <a:srgbClr val="B4A7D6"/>
            </a:solidFill>
            <a:ln cmpd="sng">
              <a:solidFill>
                <a:srgbClr val="B4A7D6">
                  <a:alpha val="100000"/>
                </a:srgbClr>
              </a:solidFill>
              <a:prstDash val="solid"/>
            </a:ln>
          </c:spPr>
          <c:dPt>
            <c:idx val="0"/>
            <c:spPr>
              <a:solidFill>
                <a:srgbClr val="B4A7D6"/>
              </a:solidFill>
              <a:ln cmpd="sng">
                <a:solidFill>
                  <a:srgbClr val="B4A7D6">
                    <a:alpha val="100000"/>
                  </a:srgbClr>
                </a:solidFill>
              </a:ln>
            </c:spPr>
          </c:dPt>
          <c:dPt>
            <c:idx val="1"/>
            <c:spPr>
              <a:solidFill>
                <a:srgbClr val="B4A7D6"/>
              </a:solidFill>
              <a:ln cmpd="sng">
                <a:solidFill>
                  <a:srgbClr val="B4A7D6">
                    <a:alpha val="100000"/>
                  </a:srgbClr>
                </a:solidFill>
              </a:ln>
            </c:spPr>
          </c:dPt>
          <c:dPt>
            <c:idx val="3"/>
            <c:spPr>
              <a:solidFill>
                <a:srgbClr val="B4A7D6"/>
              </a:solidFill>
              <a:ln cmpd="sng">
                <a:solidFill>
                  <a:srgbClr val="B4A7D6">
                    <a:alpha val="100000"/>
                  </a:srgbClr>
                </a:solidFill>
              </a:ln>
            </c:spPr>
          </c:dPt>
          <c:dPt>
            <c:idx val="4"/>
            <c:spPr>
              <a:solidFill>
                <a:srgbClr val="B4A7D6"/>
              </a:solidFill>
              <a:ln cmpd="sng">
                <a:solidFill>
                  <a:srgbClr val="B4A7D6">
                    <a:alpha val="100000"/>
                  </a:srgbClr>
                </a:solidFill>
              </a:ln>
            </c:spPr>
          </c:dPt>
          <c:cat>
            <c:strRef>
              <c:f>(March!$B$18,March!$C$18,March!$D$18)</c:f>
            </c:strRef>
          </c:cat>
          <c:val>
            <c:numRef>
              <c:f>(March!$B$18,March!$C$18,March!$D$18)</c:f>
              <c:numCache/>
            </c:numRef>
          </c:val>
        </c:ser>
        <c:axId val="38986062"/>
        <c:axId val="1453356968"/>
      </c:barChart>
      <c:catAx>
        <c:axId val="3898606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Cashflow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3356968"/>
      </c:catAx>
      <c:valAx>
        <c:axId val="14533569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986062"/>
        <c:crosses val="max"/>
      </c:valAx>
    </c:plotArea>
    <c:legend>
      <c:legendPos val="r"/>
      <c:legendEntry>
        <c:idx val="0"/>
        <c:txPr>
          <a:bodyPr/>
          <a:lstStyle/>
          <a:p>
            <a:pPr lvl="0">
              <a:defRPr>
                <a:solidFill>
                  <a:srgbClr val="000000"/>
                </a:solidFill>
              </a:defRPr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000000"/>
                </a:solidFill>
                <a:latin typeface="+mn-lt"/>
              </a:defRPr>
            </a:pPr>
            <a:r>
              <a:rPr b="1" sz="1400">
                <a:solidFill>
                  <a:srgbClr val="000000"/>
                </a:solidFill>
                <a:latin typeface="+mn-lt"/>
              </a:rPr>
              <a:t>Actual Spending Breakdown 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B6D7A8"/>
              </a:solidFill>
            </c:spPr>
          </c:dPt>
          <c:dPt>
            <c:idx val="1"/>
            <c:spPr>
              <a:solidFill>
                <a:srgbClr val="DD7E6B"/>
              </a:solidFill>
            </c:spPr>
          </c:dPt>
          <c:dPt>
            <c:idx val="2"/>
            <c:spPr>
              <a:solidFill>
                <a:srgbClr val="F4CCCC"/>
              </a:solidFill>
            </c:spPr>
          </c:dPt>
          <c:dPt>
            <c:idx val="3"/>
            <c:spPr>
              <a:solidFill>
                <a:srgbClr val="76A5AF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March!$AE$12:$AE$15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000">
                <a:solidFill>
                  <a:srgbClr val="000000"/>
                </a:solidFill>
                <a:latin typeface="Georgia"/>
              </a:defRPr>
            </a:pPr>
            <a:r>
              <a:rPr b="0" sz="2000">
                <a:solidFill>
                  <a:srgbClr val="000000"/>
                </a:solidFill>
                <a:latin typeface="Georgia"/>
              </a:rPr>
              <a:t>Left To Spend</a:t>
            </a:r>
          </a:p>
        </c:rich>
      </c:tx>
      <c:layout>
        <c:manualLayout>
          <c:xMode val="edge"/>
          <c:yMode val="edge"/>
          <c:x val="0.0014161220043572992"/>
          <c:y val="0.05518134715025907"/>
        </c:manualLayout>
      </c:layout>
      <c:overlay val="0"/>
    </c:title>
    <c:plotArea>
      <c:layout>
        <c:manualLayout>
          <c:xMode val="edge"/>
          <c:yMode val="edge"/>
          <c:x val="0.21332989336085317"/>
          <c:y val="0.2357512953367876"/>
          <c:w val="0.5241428735236782"/>
          <c:h val="0.659022078086261"/>
        </c:manualLayout>
      </c:layout>
      <c:doughnutChart>
        <c:varyColors val="1"/>
        <c:ser>
          <c:idx val="0"/>
          <c:order val="0"/>
          <c:dPt>
            <c:idx val="0"/>
            <c:spPr>
              <a:solidFill>
                <a:srgbClr val="B4A7D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March!$C$10:$D$10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60"/>
      </c:doughnutChart>
    </c:plotArea>
    <c:legend>
      <c:legendPos val="r"/>
      <c:legendEntry>
        <c:idx val="0"/>
        <c:txPr>
          <a:bodyPr/>
          <a:lstStyle/>
          <a:p>
            <a:pPr lvl="0">
              <a:defRPr sz="1400"/>
            </a:pPr>
          </a:p>
        </c:txPr>
      </c:legendEntry>
      <c:legendEntry>
        <c:idx val="1"/>
        <c:txPr>
          <a:bodyPr/>
          <a:lstStyle/>
          <a:p>
            <a:pPr lvl="0">
              <a:defRPr sz="1400"/>
            </a:pPr>
          </a:p>
        </c:txPr>
      </c:legendEntry>
      <c:overlay val="0"/>
      <c:txPr>
        <a:bodyPr/>
        <a:lstStyle/>
        <a:p>
          <a:pPr lvl="0">
            <a:defRPr b="1">
              <a:solidFill>
                <a:srgbClr val="000000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000000"/>
                </a:solidFill>
                <a:latin typeface="+mn-lt"/>
              </a:defRPr>
            </a:pPr>
            <a:r>
              <a:rPr b="1" sz="1400">
                <a:solidFill>
                  <a:srgbClr val="000000"/>
                </a:solidFill>
                <a:latin typeface="+mn-lt"/>
              </a:rPr>
              <a:t>Budget Vs Actual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Budget</c:v>
          </c:tx>
          <c:spPr>
            <a:solidFill>
              <a:srgbClr val="B4A7D6"/>
            </a:solidFill>
            <a:ln cmpd="sng">
              <a:solidFill>
                <a:srgbClr val="B4A7D6">
                  <a:alpha val="100000"/>
                </a:srgbClr>
              </a:solidFill>
              <a:prstDash val="solid"/>
            </a:ln>
          </c:spPr>
          <c:dPt>
            <c:idx val="0"/>
            <c:spPr>
              <a:solidFill>
                <a:srgbClr val="B4A7D6"/>
              </a:solidFill>
              <a:ln cmpd="sng">
                <a:solidFill>
                  <a:srgbClr val="B4A7D6">
                    <a:alpha val="100000"/>
                  </a:srgbClr>
                </a:solidFill>
              </a:ln>
            </c:spPr>
          </c:dPt>
          <c:dPt>
            <c:idx val="1"/>
            <c:spPr>
              <a:solidFill>
                <a:srgbClr val="B4A7D6"/>
              </a:solidFill>
              <a:ln cmpd="sng">
                <a:solidFill>
                  <a:srgbClr val="B4A7D6">
                    <a:alpha val="100000"/>
                  </a:srgbClr>
                </a:solidFill>
              </a:ln>
            </c:spPr>
          </c:dPt>
          <c:dPt>
            <c:idx val="3"/>
            <c:spPr>
              <a:solidFill>
                <a:srgbClr val="B4A7D6"/>
              </a:solidFill>
              <a:ln cmpd="sng">
                <a:solidFill>
                  <a:srgbClr val="B4A7D6">
                    <a:alpha val="100000"/>
                  </a:srgbClr>
                </a:solidFill>
              </a:ln>
            </c:spPr>
          </c:dPt>
          <c:dPt>
            <c:idx val="4"/>
            <c:spPr>
              <a:solidFill>
                <a:srgbClr val="B4A7D6"/>
              </a:solidFill>
              <a:ln cmpd="sng">
                <a:solidFill>
                  <a:srgbClr val="B4A7D6">
                    <a:alpha val="100000"/>
                  </a:srgbClr>
                </a:solidFill>
              </a:ln>
            </c:spPr>
          </c:dPt>
          <c:cat>
            <c:strRef>
              <c:f>(April!$B$18,April!$C$18,April!$D$18)</c:f>
            </c:strRef>
          </c:cat>
          <c:val>
            <c:numRef>
              <c:f>(April!$B$18,April!$C$18,April!$D$18)</c:f>
              <c:numCache/>
            </c:numRef>
          </c:val>
        </c:ser>
        <c:axId val="1415756948"/>
        <c:axId val="412488750"/>
      </c:barChart>
      <c:catAx>
        <c:axId val="141575694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Cashflow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2488750"/>
      </c:catAx>
      <c:valAx>
        <c:axId val="4124887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5756948"/>
        <c:crosses val="max"/>
      </c:valAx>
    </c:plotArea>
    <c:legend>
      <c:legendPos val="r"/>
      <c:legendEntry>
        <c:idx val="0"/>
        <c:txPr>
          <a:bodyPr/>
          <a:lstStyle/>
          <a:p>
            <a:pPr lvl="0">
              <a:defRPr>
                <a:solidFill>
                  <a:srgbClr val="000000"/>
                </a:solidFill>
              </a:defRPr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000000"/>
                </a:solidFill>
                <a:latin typeface="+mn-lt"/>
              </a:defRPr>
            </a:pPr>
            <a:r>
              <a:rPr b="1" sz="1400">
                <a:solidFill>
                  <a:srgbClr val="000000"/>
                </a:solidFill>
                <a:latin typeface="+mn-lt"/>
              </a:rPr>
              <a:t>Actual Breakdown of Income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B6D7A8"/>
              </a:solidFill>
            </c:spPr>
          </c:dPt>
          <c:dPt>
            <c:idx val="1"/>
            <c:spPr>
              <a:solidFill>
                <a:srgbClr val="DD7E6B"/>
              </a:solidFill>
            </c:spPr>
          </c:dPt>
          <c:dPt>
            <c:idx val="2"/>
            <c:spPr>
              <a:solidFill>
                <a:srgbClr val="F4CCCC"/>
              </a:solidFill>
            </c:spPr>
          </c:dPt>
          <c:dPt>
            <c:idx val="3"/>
            <c:spPr>
              <a:solidFill>
                <a:srgbClr val="76A5AF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April!$AE$12:$AE$15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000">
                <a:solidFill>
                  <a:srgbClr val="000000"/>
                </a:solidFill>
                <a:latin typeface="Georgia"/>
              </a:defRPr>
            </a:pPr>
            <a:r>
              <a:rPr b="0" sz="2000">
                <a:solidFill>
                  <a:srgbClr val="000000"/>
                </a:solidFill>
                <a:latin typeface="Georgia"/>
              </a:rPr>
              <a:t>Left To Spend</a:t>
            </a:r>
          </a:p>
        </c:rich>
      </c:tx>
      <c:layout>
        <c:manualLayout>
          <c:xMode val="edge"/>
          <c:yMode val="edge"/>
          <c:x val="0.0014161220043572992"/>
          <c:y val="0.05518134715025907"/>
        </c:manualLayout>
      </c:layout>
      <c:overlay val="0"/>
    </c:title>
    <c:plotArea>
      <c:layout>
        <c:manualLayout>
          <c:xMode val="edge"/>
          <c:yMode val="edge"/>
          <c:x val="0.21332989336085317"/>
          <c:y val="0.2357512953367876"/>
          <c:w val="0.5241428735236782"/>
          <c:h val="0.659022078086261"/>
        </c:manualLayout>
      </c:layout>
      <c:doughnutChart>
        <c:varyColors val="1"/>
        <c:ser>
          <c:idx val="0"/>
          <c:order val="0"/>
          <c:dPt>
            <c:idx val="0"/>
            <c:spPr>
              <a:solidFill>
                <a:srgbClr val="B4A7D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April!$C$10:$D$10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60"/>
      </c:doughnutChart>
    </c:plotArea>
    <c:legend>
      <c:legendPos val="r"/>
      <c:legendEntry>
        <c:idx val="0"/>
        <c:txPr>
          <a:bodyPr/>
          <a:lstStyle/>
          <a:p>
            <a:pPr lvl="0">
              <a:defRPr sz="1400"/>
            </a:pPr>
          </a:p>
        </c:txPr>
      </c:legendEntry>
      <c:legendEntry>
        <c:idx val="1"/>
        <c:txPr>
          <a:bodyPr/>
          <a:lstStyle/>
          <a:p>
            <a:pPr lvl="0">
              <a:defRPr sz="1400"/>
            </a:pPr>
          </a:p>
        </c:txPr>
      </c:legendEntry>
      <c:overlay val="0"/>
      <c:txPr>
        <a:bodyPr/>
        <a:lstStyle/>
        <a:p>
          <a:pPr lvl="0">
            <a:defRPr b="1">
              <a:solidFill>
                <a:srgbClr val="000000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000000"/>
                </a:solidFill>
                <a:latin typeface="+mn-lt"/>
              </a:defRPr>
            </a:pPr>
            <a:r>
              <a:rPr b="1" sz="1400">
                <a:solidFill>
                  <a:srgbClr val="000000"/>
                </a:solidFill>
                <a:latin typeface="+mn-lt"/>
              </a:rPr>
              <a:t>Budget Vs Actual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Budget</c:v>
          </c:tx>
          <c:spPr>
            <a:solidFill>
              <a:srgbClr val="B4A7D6"/>
            </a:solidFill>
            <a:ln cmpd="sng">
              <a:solidFill>
                <a:srgbClr val="B4A7D6">
                  <a:alpha val="100000"/>
                </a:srgbClr>
              </a:solidFill>
              <a:prstDash val="solid"/>
            </a:ln>
          </c:spPr>
          <c:dPt>
            <c:idx val="0"/>
            <c:spPr>
              <a:solidFill>
                <a:srgbClr val="B4A7D6"/>
              </a:solidFill>
              <a:ln cmpd="sng">
                <a:solidFill>
                  <a:srgbClr val="B4A7D6">
                    <a:alpha val="100000"/>
                  </a:srgbClr>
                </a:solidFill>
              </a:ln>
            </c:spPr>
          </c:dPt>
          <c:dPt>
            <c:idx val="1"/>
            <c:spPr>
              <a:solidFill>
                <a:srgbClr val="B4A7D6"/>
              </a:solidFill>
              <a:ln cmpd="sng">
                <a:solidFill>
                  <a:srgbClr val="B4A7D6">
                    <a:alpha val="100000"/>
                  </a:srgbClr>
                </a:solidFill>
              </a:ln>
            </c:spPr>
          </c:dPt>
          <c:dPt>
            <c:idx val="3"/>
            <c:spPr>
              <a:solidFill>
                <a:srgbClr val="B4A7D6"/>
              </a:solidFill>
              <a:ln cmpd="sng">
                <a:solidFill>
                  <a:srgbClr val="B4A7D6">
                    <a:alpha val="100000"/>
                  </a:srgbClr>
                </a:solidFill>
              </a:ln>
            </c:spPr>
          </c:dPt>
          <c:dPt>
            <c:idx val="4"/>
            <c:spPr>
              <a:solidFill>
                <a:srgbClr val="B4A7D6"/>
              </a:solidFill>
              <a:ln cmpd="sng">
                <a:solidFill>
                  <a:srgbClr val="B4A7D6">
                    <a:alpha val="100000"/>
                  </a:srgbClr>
                </a:solidFill>
              </a:ln>
            </c:spPr>
          </c:dPt>
          <c:cat>
            <c:strRef>
              <c:f>(May!$B$18,May!$C$18,May!$D$18)</c:f>
            </c:strRef>
          </c:cat>
          <c:val>
            <c:numRef>
              <c:f>(May!$B$18,May!$C$18,May!$D$18)</c:f>
              <c:numCache/>
            </c:numRef>
          </c:val>
        </c:ser>
        <c:axId val="85800801"/>
        <c:axId val="1676063503"/>
      </c:barChart>
      <c:catAx>
        <c:axId val="8580080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Cashflow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6063503"/>
      </c:catAx>
      <c:valAx>
        <c:axId val="16760635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800801"/>
        <c:crosses val="max"/>
      </c:valAx>
    </c:plotArea>
    <c:legend>
      <c:legendPos val="r"/>
      <c:legendEntry>
        <c:idx val="0"/>
        <c:txPr>
          <a:bodyPr/>
          <a:lstStyle/>
          <a:p>
            <a:pPr lvl="0">
              <a:defRPr>
                <a:solidFill>
                  <a:srgbClr val="000000"/>
                </a:solidFill>
              </a:defRPr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000000"/>
                </a:solidFill>
                <a:latin typeface="+mn-lt"/>
              </a:defRPr>
            </a:pPr>
            <a:r>
              <a:rPr b="1" sz="1400">
                <a:solidFill>
                  <a:srgbClr val="000000"/>
                </a:solidFill>
                <a:latin typeface="+mn-lt"/>
              </a:rPr>
              <a:t>Actual Breakdown of Income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B6D7A8"/>
              </a:solidFill>
            </c:spPr>
          </c:dPt>
          <c:dPt>
            <c:idx val="1"/>
            <c:spPr>
              <a:solidFill>
                <a:srgbClr val="DD7E6B"/>
              </a:solidFill>
            </c:spPr>
          </c:dPt>
          <c:dPt>
            <c:idx val="2"/>
            <c:spPr>
              <a:solidFill>
                <a:srgbClr val="F4CCCC"/>
              </a:solidFill>
            </c:spPr>
          </c:dPt>
          <c:dPt>
            <c:idx val="3"/>
            <c:spPr>
              <a:solidFill>
                <a:srgbClr val="76A5AF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May!$AE$12:$AE$15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000">
                <a:solidFill>
                  <a:srgbClr val="000000"/>
                </a:solidFill>
                <a:latin typeface="Georgia"/>
              </a:defRPr>
            </a:pPr>
            <a:r>
              <a:rPr b="0" sz="2000">
                <a:solidFill>
                  <a:srgbClr val="000000"/>
                </a:solidFill>
                <a:latin typeface="Georgia"/>
              </a:rPr>
              <a:t>Left To Spend</a:t>
            </a:r>
          </a:p>
        </c:rich>
      </c:tx>
      <c:layout>
        <c:manualLayout>
          <c:xMode val="edge"/>
          <c:yMode val="edge"/>
          <c:x val="0.0014161220043572992"/>
          <c:y val="0.05518134715025907"/>
        </c:manualLayout>
      </c:layout>
      <c:overlay val="0"/>
    </c:title>
    <c:plotArea>
      <c:layout>
        <c:manualLayout>
          <c:xMode val="edge"/>
          <c:yMode val="edge"/>
          <c:x val="0.21332989336085317"/>
          <c:y val="0.2357512953367876"/>
          <c:w val="0.5241428735236782"/>
          <c:h val="0.659022078086261"/>
        </c:manualLayout>
      </c:layout>
      <c:doughnutChart>
        <c:varyColors val="1"/>
        <c:ser>
          <c:idx val="0"/>
          <c:order val="0"/>
          <c:dPt>
            <c:idx val="0"/>
            <c:spPr>
              <a:solidFill>
                <a:srgbClr val="B4A7D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May!$C$10:$D$10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60"/>
      </c:doughnutChart>
    </c:plotArea>
    <c:legend>
      <c:legendPos val="r"/>
      <c:legendEntry>
        <c:idx val="0"/>
        <c:txPr>
          <a:bodyPr/>
          <a:lstStyle/>
          <a:p>
            <a:pPr lvl="0">
              <a:defRPr sz="1400"/>
            </a:pPr>
          </a:p>
        </c:txPr>
      </c:legendEntry>
      <c:legendEntry>
        <c:idx val="1"/>
        <c:txPr>
          <a:bodyPr/>
          <a:lstStyle/>
          <a:p>
            <a:pPr lvl="0">
              <a:defRPr sz="1400"/>
            </a:pPr>
          </a:p>
        </c:txPr>
      </c:legendEntry>
      <c:overlay val="0"/>
      <c:txPr>
        <a:bodyPr/>
        <a:lstStyle/>
        <a:p>
          <a:pPr lvl="0">
            <a:defRPr b="1">
              <a:solidFill>
                <a:srgbClr val="000000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000000"/>
                </a:solidFill>
                <a:latin typeface="+mn-lt"/>
              </a:defRPr>
            </a:pPr>
            <a:r>
              <a:rPr b="1" sz="1400">
                <a:solidFill>
                  <a:srgbClr val="000000"/>
                </a:solidFill>
                <a:latin typeface="+mn-lt"/>
              </a:rPr>
              <a:t>Budget Vs Actual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Budget</c:v>
          </c:tx>
          <c:spPr>
            <a:solidFill>
              <a:srgbClr val="B4A7D6"/>
            </a:solidFill>
            <a:ln cmpd="sng">
              <a:solidFill>
                <a:srgbClr val="B4A7D6">
                  <a:alpha val="100000"/>
                </a:srgbClr>
              </a:solidFill>
              <a:prstDash val="solid"/>
            </a:ln>
          </c:spPr>
          <c:dPt>
            <c:idx val="0"/>
            <c:spPr>
              <a:solidFill>
                <a:srgbClr val="B4A7D6"/>
              </a:solidFill>
              <a:ln cmpd="sng">
                <a:solidFill>
                  <a:srgbClr val="B4A7D6">
                    <a:alpha val="100000"/>
                  </a:srgbClr>
                </a:solidFill>
              </a:ln>
            </c:spPr>
          </c:dPt>
          <c:dPt>
            <c:idx val="1"/>
            <c:spPr>
              <a:solidFill>
                <a:srgbClr val="B4A7D6"/>
              </a:solidFill>
              <a:ln cmpd="sng">
                <a:solidFill>
                  <a:srgbClr val="B4A7D6">
                    <a:alpha val="100000"/>
                  </a:srgbClr>
                </a:solidFill>
              </a:ln>
            </c:spPr>
          </c:dPt>
          <c:dPt>
            <c:idx val="3"/>
            <c:spPr>
              <a:solidFill>
                <a:srgbClr val="B4A7D6"/>
              </a:solidFill>
              <a:ln cmpd="sng">
                <a:solidFill>
                  <a:srgbClr val="B4A7D6">
                    <a:alpha val="100000"/>
                  </a:srgbClr>
                </a:solidFill>
              </a:ln>
            </c:spPr>
          </c:dPt>
          <c:dPt>
            <c:idx val="4"/>
            <c:spPr>
              <a:solidFill>
                <a:srgbClr val="B4A7D6"/>
              </a:solidFill>
              <a:ln cmpd="sng">
                <a:solidFill>
                  <a:srgbClr val="B4A7D6">
                    <a:alpha val="100000"/>
                  </a:srgbClr>
                </a:solidFill>
              </a:ln>
            </c:spPr>
          </c:dPt>
          <c:cat>
            <c:strRef>
              <c:f>(June!$B$18,June!$C$18,June!$D$18)</c:f>
            </c:strRef>
          </c:cat>
          <c:val>
            <c:numRef>
              <c:f>(June!$B$18,June!$C$18,June!$D$18)</c:f>
              <c:numCache/>
            </c:numRef>
          </c:val>
        </c:ser>
        <c:axId val="1243060770"/>
        <c:axId val="359511582"/>
      </c:barChart>
      <c:catAx>
        <c:axId val="124306077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Cashflow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9511582"/>
      </c:catAx>
      <c:valAx>
        <c:axId val="3595115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3060770"/>
        <c:crosses val="max"/>
      </c:valAx>
    </c:plotArea>
    <c:legend>
      <c:legendPos val="r"/>
      <c:legendEntry>
        <c:idx val="0"/>
        <c:txPr>
          <a:bodyPr/>
          <a:lstStyle/>
          <a:p>
            <a:pPr lvl="0">
              <a:defRPr>
                <a:solidFill>
                  <a:srgbClr val="000000"/>
                </a:solidFill>
              </a:defRPr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000000"/>
                </a:solidFill>
                <a:latin typeface="+mn-lt"/>
              </a:defRPr>
            </a:pPr>
            <a:r>
              <a:rPr b="1" sz="1400">
                <a:solidFill>
                  <a:srgbClr val="000000"/>
                </a:solidFill>
                <a:latin typeface="+mn-lt"/>
              </a:rPr>
              <a:t>Actual Breakdown of Income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B6D7A8"/>
              </a:solidFill>
            </c:spPr>
          </c:dPt>
          <c:dPt>
            <c:idx val="1"/>
            <c:spPr>
              <a:solidFill>
                <a:srgbClr val="DD7E6B"/>
              </a:solidFill>
            </c:spPr>
          </c:dPt>
          <c:dPt>
            <c:idx val="2"/>
            <c:spPr>
              <a:solidFill>
                <a:srgbClr val="F4CCCC"/>
              </a:solidFill>
            </c:spPr>
          </c:dPt>
          <c:dPt>
            <c:idx val="3"/>
            <c:spPr>
              <a:solidFill>
                <a:srgbClr val="76A5AF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June!$AE$12:$AE$15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000">
                <a:solidFill>
                  <a:srgbClr val="000000"/>
                </a:solidFill>
                <a:latin typeface="Georgia"/>
              </a:defRPr>
            </a:pPr>
            <a:r>
              <a:rPr b="0" sz="2000">
                <a:solidFill>
                  <a:srgbClr val="000000"/>
                </a:solidFill>
                <a:latin typeface="Georgia"/>
              </a:rPr>
              <a:t>Left To Spend</a:t>
            </a:r>
          </a:p>
        </c:rich>
      </c:tx>
      <c:layout>
        <c:manualLayout>
          <c:xMode val="edge"/>
          <c:yMode val="edge"/>
          <c:x val="0.0014161220043572992"/>
          <c:y val="0.05518134715025907"/>
        </c:manualLayout>
      </c:layout>
      <c:overlay val="0"/>
    </c:title>
    <c:plotArea>
      <c:layout>
        <c:manualLayout>
          <c:xMode val="edge"/>
          <c:yMode val="edge"/>
          <c:x val="0.21332989336085317"/>
          <c:y val="0.2357512953367876"/>
          <c:w val="0.5241428735236782"/>
          <c:h val="0.659022078086261"/>
        </c:manualLayout>
      </c:layout>
      <c:doughnutChart>
        <c:varyColors val="1"/>
        <c:ser>
          <c:idx val="0"/>
          <c:order val="0"/>
          <c:dPt>
            <c:idx val="0"/>
            <c:spPr>
              <a:solidFill>
                <a:srgbClr val="B4A7D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June!$C$10:$D$10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60"/>
      </c:doughnutChart>
    </c:plotArea>
    <c:legend>
      <c:legendPos val="r"/>
      <c:legendEntry>
        <c:idx val="0"/>
        <c:txPr>
          <a:bodyPr/>
          <a:lstStyle/>
          <a:p>
            <a:pPr lvl="0">
              <a:defRPr sz="1400"/>
            </a:pPr>
          </a:p>
        </c:txPr>
      </c:legendEntry>
      <c:legendEntry>
        <c:idx val="1"/>
        <c:txPr>
          <a:bodyPr/>
          <a:lstStyle/>
          <a:p>
            <a:pPr lvl="0">
              <a:defRPr sz="1400"/>
            </a:pPr>
          </a:p>
        </c:txPr>
      </c:legendEntry>
      <c:overlay val="0"/>
      <c:txPr>
        <a:bodyPr/>
        <a:lstStyle/>
        <a:p>
          <a:pPr lvl="0">
            <a:defRPr b="1">
              <a:solidFill>
                <a:srgbClr val="000000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000000"/>
                </a:solidFill>
                <a:latin typeface="+mn-lt"/>
              </a:defRPr>
            </a:pPr>
            <a:r>
              <a:rPr b="1" sz="1400">
                <a:solidFill>
                  <a:srgbClr val="000000"/>
                </a:solidFill>
                <a:latin typeface="+mn-lt"/>
              </a:rPr>
              <a:t>Budget Vs Actual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Budget</c:v>
          </c:tx>
          <c:spPr>
            <a:solidFill>
              <a:srgbClr val="B4A7D6"/>
            </a:solidFill>
            <a:ln cmpd="sng">
              <a:solidFill>
                <a:srgbClr val="B4A7D6">
                  <a:alpha val="100000"/>
                </a:srgbClr>
              </a:solidFill>
              <a:prstDash val="solid"/>
            </a:ln>
          </c:spPr>
          <c:dPt>
            <c:idx val="0"/>
            <c:spPr>
              <a:solidFill>
                <a:srgbClr val="B4A7D6"/>
              </a:solidFill>
              <a:ln cmpd="sng">
                <a:solidFill>
                  <a:srgbClr val="B4A7D6">
                    <a:alpha val="100000"/>
                  </a:srgbClr>
                </a:solidFill>
              </a:ln>
            </c:spPr>
          </c:dPt>
          <c:dPt>
            <c:idx val="1"/>
            <c:spPr>
              <a:solidFill>
                <a:srgbClr val="B4A7D6"/>
              </a:solidFill>
              <a:ln cmpd="sng">
                <a:solidFill>
                  <a:srgbClr val="B4A7D6">
                    <a:alpha val="100000"/>
                  </a:srgbClr>
                </a:solidFill>
              </a:ln>
            </c:spPr>
          </c:dPt>
          <c:dPt>
            <c:idx val="3"/>
            <c:spPr>
              <a:solidFill>
                <a:srgbClr val="B4A7D6"/>
              </a:solidFill>
              <a:ln cmpd="sng">
                <a:solidFill>
                  <a:srgbClr val="B4A7D6">
                    <a:alpha val="100000"/>
                  </a:srgbClr>
                </a:solidFill>
              </a:ln>
            </c:spPr>
          </c:dPt>
          <c:dPt>
            <c:idx val="4"/>
            <c:spPr>
              <a:solidFill>
                <a:srgbClr val="B4A7D6"/>
              </a:solidFill>
              <a:ln cmpd="sng">
                <a:solidFill>
                  <a:srgbClr val="B4A7D6">
                    <a:alpha val="100000"/>
                  </a:srgbClr>
                </a:solidFill>
              </a:ln>
            </c:spPr>
          </c:dPt>
          <c:cat>
            <c:strRef>
              <c:f>(July!$B$18,July!$C$18,July!$D$18)</c:f>
            </c:strRef>
          </c:cat>
          <c:val>
            <c:numRef>
              <c:f>(July!$B$18,July!$C$18,July!$D$18)</c:f>
              <c:numCache/>
            </c:numRef>
          </c:val>
        </c:ser>
        <c:axId val="314835740"/>
        <c:axId val="212699228"/>
      </c:barChart>
      <c:catAx>
        <c:axId val="31483574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Cashflow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699228"/>
      </c:catAx>
      <c:valAx>
        <c:axId val="2126992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4835740"/>
        <c:crosses val="max"/>
      </c:valAx>
    </c:plotArea>
    <c:legend>
      <c:legendPos val="r"/>
      <c:legendEntry>
        <c:idx val="0"/>
        <c:txPr>
          <a:bodyPr/>
          <a:lstStyle/>
          <a:p>
            <a:pPr lvl="0">
              <a:defRPr>
                <a:solidFill>
                  <a:srgbClr val="000000"/>
                </a:solidFill>
              </a:defRPr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000000"/>
                </a:solidFill>
                <a:latin typeface="+mn-lt"/>
              </a:defRPr>
            </a:pPr>
            <a:r>
              <a:rPr b="1" sz="1400">
                <a:solidFill>
                  <a:srgbClr val="000000"/>
                </a:solidFill>
                <a:latin typeface="+mn-lt"/>
              </a:rPr>
              <a:t>Actual Breakdown of Income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B6D7A8"/>
              </a:solidFill>
            </c:spPr>
          </c:dPt>
          <c:dPt>
            <c:idx val="1"/>
            <c:spPr>
              <a:solidFill>
                <a:srgbClr val="DD7E6B"/>
              </a:solidFill>
            </c:spPr>
          </c:dPt>
          <c:dPt>
            <c:idx val="2"/>
            <c:spPr>
              <a:solidFill>
                <a:srgbClr val="F4CCCC"/>
              </a:solidFill>
            </c:spPr>
          </c:dPt>
          <c:dPt>
            <c:idx val="3"/>
            <c:spPr>
              <a:solidFill>
                <a:srgbClr val="76A5AF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July!$AE$12:$AE$15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000">
                <a:solidFill>
                  <a:srgbClr val="000000"/>
                </a:solidFill>
                <a:latin typeface="Georgia"/>
              </a:defRPr>
            </a:pPr>
            <a:r>
              <a:rPr b="0" sz="2000">
                <a:solidFill>
                  <a:srgbClr val="000000"/>
                </a:solidFill>
                <a:latin typeface="Georgia"/>
              </a:rPr>
              <a:t>Left To Spend</a:t>
            </a:r>
          </a:p>
        </c:rich>
      </c:tx>
      <c:layout>
        <c:manualLayout>
          <c:xMode val="edge"/>
          <c:yMode val="edge"/>
          <c:x val="0.0014161220043572992"/>
          <c:y val="0.05518134715025907"/>
        </c:manualLayout>
      </c:layout>
      <c:overlay val="0"/>
    </c:title>
    <c:plotArea>
      <c:layout>
        <c:manualLayout>
          <c:xMode val="edge"/>
          <c:yMode val="edge"/>
          <c:x val="0.21332989336085317"/>
          <c:y val="0.2357512953367876"/>
          <c:w val="0.5241428735236782"/>
          <c:h val="0.659022078086261"/>
        </c:manualLayout>
      </c:layout>
      <c:doughnutChart>
        <c:varyColors val="1"/>
        <c:ser>
          <c:idx val="0"/>
          <c:order val="0"/>
          <c:dPt>
            <c:idx val="0"/>
            <c:spPr>
              <a:solidFill>
                <a:srgbClr val="B4A7D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July!$C$10:$D$10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60"/>
      </c:doughnutChart>
    </c:plotArea>
    <c:legend>
      <c:legendPos val="r"/>
      <c:legendEntry>
        <c:idx val="0"/>
        <c:txPr>
          <a:bodyPr/>
          <a:lstStyle/>
          <a:p>
            <a:pPr lvl="0">
              <a:defRPr sz="1400"/>
            </a:pPr>
          </a:p>
        </c:txPr>
      </c:legendEntry>
      <c:legendEntry>
        <c:idx val="1"/>
        <c:txPr>
          <a:bodyPr/>
          <a:lstStyle/>
          <a:p>
            <a:pPr lvl="0">
              <a:defRPr sz="1400"/>
            </a:pPr>
          </a:p>
        </c:txPr>
      </c:legendEntry>
      <c:overlay val="0"/>
      <c:txPr>
        <a:bodyPr/>
        <a:lstStyle/>
        <a:p>
          <a:pPr lvl="0">
            <a:defRPr b="1">
              <a:solidFill>
                <a:srgbClr val="000000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000000"/>
                </a:solidFill>
                <a:latin typeface="+mn-lt"/>
              </a:defRPr>
            </a:pPr>
            <a:r>
              <a:rPr b="1" sz="1400">
                <a:solidFill>
                  <a:srgbClr val="000000"/>
                </a:solidFill>
                <a:latin typeface="+mn-lt"/>
              </a:rPr>
              <a:t>Budget Vs Actual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Budget</c:v>
          </c:tx>
          <c:spPr>
            <a:solidFill>
              <a:srgbClr val="B4A7D6"/>
            </a:solidFill>
            <a:ln cmpd="sng">
              <a:solidFill>
                <a:srgbClr val="B4A7D6">
                  <a:alpha val="100000"/>
                </a:srgbClr>
              </a:solidFill>
              <a:prstDash val="solid"/>
            </a:ln>
          </c:spPr>
          <c:dPt>
            <c:idx val="0"/>
            <c:spPr>
              <a:solidFill>
                <a:srgbClr val="B4A7D6"/>
              </a:solidFill>
              <a:ln cmpd="sng">
                <a:solidFill>
                  <a:srgbClr val="B4A7D6">
                    <a:alpha val="100000"/>
                  </a:srgbClr>
                </a:solidFill>
              </a:ln>
            </c:spPr>
          </c:dPt>
          <c:dPt>
            <c:idx val="1"/>
            <c:spPr>
              <a:solidFill>
                <a:srgbClr val="B4A7D6"/>
              </a:solidFill>
              <a:ln cmpd="sng">
                <a:solidFill>
                  <a:srgbClr val="B4A7D6">
                    <a:alpha val="100000"/>
                  </a:srgbClr>
                </a:solidFill>
              </a:ln>
            </c:spPr>
          </c:dPt>
          <c:dPt>
            <c:idx val="3"/>
            <c:spPr>
              <a:solidFill>
                <a:srgbClr val="B4A7D6"/>
              </a:solidFill>
              <a:ln cmpd="sng">
                <a:solidFill>
                  <a:srgbClr val="B4A7D6">
                    <a:alpha val="100000"/>
                  </a:srgbClr>
                </a:solidFill>
              </a:ln>
            </c:spPr>
          </c:dPt>
          <c:dPt>
            <c:idx val="4"/>
            <c:spPr>
              <a:solidFill>
                <a:srgbClr val="B4A7D6"/>
              </a:solidFill>
              <a:ln cmpd="sng">
                <a:solidFill>
                  <a:srgbClr val="B4A7D6">
                    <a:alpha val="100000"/>
                  </a:srgbClr>
                </a:solidFill>
              </a:ln>
            </c:spPr>
          </c:dPt>
          <c:cat>
            <c:strRef>
              <c:f>(August!$B$18,August!$C$18,August!$D$18)</c:f>
            </c:strRef>
          </c:cat>
          <c:val>
            <c:numRef>
              <c:f>(August!$B$18,August!$C$18,August!$D$18)</c:f>
              <c:numCache/>
            </c:numRef>
          </c:val>
        </c:ser>
        <c:axId val="320477365"/>
        <c:axId val="467780490"/>
      </c:barChart>
      <c:catAx>
        <c:axId val="32047736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Cashflow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7780490"/>
      </c:catAx>
      <c:valAx>
        <c:axId val="4677804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0477365"/>
        <c:crosses val="max"/>
      </c:valAx>
    </c:plotArea>
    <c:legend>
      <c:legendPos val="r"/>
      <c:legendEntry>
        <c:idx val="0"/>
        <c:txPr>
          <a:bodyPr/>
          <a:lstStyle/>
          <a:p>
            <a:pPr lvl="0">
              <a:defRPr>
                <a:solidFill>
                  <a:srgbClr val="000000"/>
                </a:solidFill>
              </a:defRPr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000000"/>
                </a:solidFill>
                <a:latin typeface="+mn-lt"/>
              </a:defRPr>
            </a:pPr>
            <a:r>
              <a:rPr b="1" sz="1400">
                <a:solidFill>
                  <a:srgbClr val="000000"/>
                </a:solidFill>
                <a:latin typeface="+mn-lt"/>
              </a:rPr>
              <a:t>Actual Breakdown of Income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B6D7A8"/>
              </a:solidFill>
            </c:spPr>
          </c:dPt>
          <c:dPt>
            <c:idx val="1"/>
            <c:spPr>
              <a:solidFill>
                <a:srgbClr val="DD7E6B"/>
              </a:solidFill>
            </c:spPr>
          </c:dPt>
          <c:dPt>
            <c:idx val="2"/>
            <c:spPr>
              <a:solidFill>
                <a:srgbClr val="F4CCCC"/>
              </a:solidFill>
            </c:spPr>
          </c:dPt>
          <c:dPt>
            <c:idx val="3"/>
            <c:spPr>
              <a:solidFill>
                <a:srgbClr val="76A5AF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August!$AE$12:$AE$15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000">
                <a:solidFill>
                  <a:srgbClr val="000000"/>
                </a:solidFill>
                <a:latin typeface="Georgia"/>
              </a:defRPr>
            </a:pPr>
            <a:r>
              <a:rPr b="0" sz="2000">
                <a:solidFill>
                  <a:srgbClr val="000000"/>
                </a:solidFill>
                <a:latin typeface="Georgia"/>
              </a:rPr>
              <a:t>Left To Spend</a:t>
            </a:r>
          </a:p>
        </c:rich>
      </c:tx>
      <c:layout>
        <c:manualLayout>
          <c:xMode val="edge"/>
          <c:yMode val="edge"/>
          <c:x val="0.0014161220043572992"/>
          <c:y val="0.05518134715025907"/>
        </c:manualLayout>
      </c:layout>
      <c:overlay val="0"/>
    </c:title>
    <c:plotArea>
      <c:layout>
        <c:manualLayout>
          <c:xMode val="edge"/>
          <c:yMode val="edge"/>
          <c:x val="0.21332989336085317"/>
          <c:y val="0.2357512953367876"/>
          <c:w val="0.5241428735236782"/>
          <c:h val="0.659022078086261"/>
        </c:manualLayout>
      </c:layout>
      <c:doughnutChart>
        <c:varyColors val="1"/>
        <c:ser>
          <c:idx val="0"/>
          <c:order val="0"/>
          <c:dPt>
            <c:idx val="0"/>
            <c:spPr>
              <a:solidFill>
                <a:srgbClr val="B4A7D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August!$C$10:$D$10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60"/>
      </c:doughnutChart>
    </c:plotArea>
    <c:legend>
      <c:legendPos val="r"/>
      <c:legendEntry>
        <c:idx val="0"/>
        <c:txPr>
          <a:bodyPr/>
          <a:lstStyle/>
          <a:p>
            <a:pPr lvl="0">
              <a:defRPr sz="1400"/>
            </a:pPr>
          </a:p>
        </c:txPr>
      </c:legendEntry>
      <c:legendEntry>
        <c:idx val="1"/>
        <c:txPr>
          <a:bodyPr/>
          <a:lstStyle/>
          <a:p>
            <a:pPr lvl="0">
              <a:defRPr sz="1400"/>
            </a:pPr>
          </a:p>
        </c:txPr>
      </c:legendEntry>
      <c:overlay val="0"/>
      <c:txPr>
        <a:bodyPr/>
        <a:lstStyle/>
        <a:p>
          <a:pPr lvl="0">
            <a:defRPr b="1">
              <a:solidFill>
                <a:srgbClr val="000000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000000"/>
                </a:solidFill>
                <a:latin typeface="+mn-lt"/>
              </a:defRPr>
            </a:pPr>
            <a:r>
              <a:rPr b="1" sz="1400">
                <a:solidFill>
                  <a:srgbClr val="000000"/>
                </a:solidFill>
                <a:latin typeface="+mn-lt"/>
              </a:rPr>
              <a:t>Budget Vs Actual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Budget</c:v>
          </c:tx>
          <c:spPr>
            <a:solidFill>
              <a:srgbClr val="B4A7D6"/>
            </a:solidFill>
            <a:ln cmpd="sng">
              <a:solidFill>
                <a:srgbClr val="B4A7D6">
                  <a:alpha val="100000"/>
                </a:srgbClr>
              </a:solidFill>
              <a:prstDash val="solid"/>
            </a:ln>
          </c:spPr>
          <c:dPt>
            <c:idx val="0"/>
            <c:spPr>
              <a:solidFill>
                <a:srgbClr val="B4A7D6"/>
              </a:solidFill>
              <a:ln cmpd="sng">
                <a:solidFill>
                  <a:srgbClr val="B4A7D6">
                    <a:alpha val="100000"/>
                  </a:srgbClr>
                </a:solidFill>
              </a:ln>
            </c:spPr>
          </c:dPt>
          <c:dPt>
            <c:idx val="1"/>
            <c:spPr>
              <a:solidFill>
                <a:srgbClr val="B4A7D6"/>
              </a:solidFill>
              <a:ln cmpd="sng">
                <a:solidFill>
                  <a:srgbClr val="B4A7D6">
                    <a:alpha val="100000"/>
                  </a:srgbClr>
                </a:solidFill>
              </a:ln>
            </c:spPr>
          </c:dPt>
          <c:dPt>
            <c:idx val="3"/>
            <c:spPr>
              <a:solidFill>
                <a:srgbClr val="B4A7D6"/>
              </a:solidFill>
              <a:ln cmpd="sng">
                <a:solidFill>
                  <a:srgbClr val="B4A7D6">
                    <a:alpha val="100000"/>
                  </a:srgbClr>
                </a:solidFill>
              </a:ln>
            </c:spPr>
          </c:dPt>
          <c:dPt>
            <c:idx val="4"/>
            <c:spPr>
              <a:solidFill>
                <a:srgbClr val="B4A7D6"/>
              </a:solidFill>
              <a:ln cmpd="sng">
                <a:solidFill>
                  <a:srgbClr val="B4A7D6">
                    <a:alpha val="100000"/>
                  </a:srgbClr>
                </a:solidFill>
              </a:ln>
            </c:spPr>
          </c:dPt>
          <c:cat>
            <c:strRef>
              <c:f>(September!$B$18,September!$C$18,September!$D$18)</c:f>
            </c:strRef>
          </c:cat>
          <c:val>
            <c:numRef>
              <c:f>(September!$B$18,September!$C$18,September!$D$18)</c:f>
              <c:numCache/>
            </c:numRef>
          </c:val>
        </c:ser>
        <c:axId val="1758307298"/>
        <c:axId val="1408012446"/>
      </c:barChart>
      <c:catAx>
        <c:axId val="175830729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Cashflow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8012446"/>
      </c:catAx>
      <c:valAx>
        <c:axId val="14080124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8307298"/>
        <c:crosses val="max"/>
      </c:valAx>
    </c:plotArea>
    <c:legend>
      <c:legendPos val="r"/>
      <c:legendEntry>
        <c:idx val="0"/>
        <c:txPr>
          <a:bodyPr/>
          <a:lstStyle/>
          <a:p>
            <a:pPr lvl="0">
              <a:defRPr>
                <a:solidFill>
                  <a:srgbClr val="000000"/>
                </a:solidFill>
              </a:defRPr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000000"/>
                </a:solidFill>
                <a:latin typeface="+mn-lt"/>
              </a:defRPr>
            </a:pPr>
            <a:r>
              <a:rPr b="1" sz="1400">
                <a:solidFill>
                  <a:srgbClr val="000000"/>
                </a:solidFill>
                <a:latin typeface="+mn-lt"/>
              </a:rPr>
              <a:t>Actual Breakdown of Income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B6D7A8"/>
              </a:solidFill>
            </c:spPr>
          </c:dPt>
          <c:dPt>
            <c:idx val="1"/>
            <c:spPr>
              <a:solidFill>
                <a:srgbClr val="DD7E6B"/>
              </a:solidFill>
            </c:spPr>
          </c:dPt>
          <c:dPt>
            <c:idx val="2"/>
            <c:spPr>
              <a:solidFill>
                <a:srgbClr val="F4CCCC"/>
              </a:solidFill>
            </c:spPr>
          </c:dPt>
          <c:dPt>
            <c:idx val="3"/>
            <c:spPr>
              <a:solidFill>
                <a:srgbClr val="76A5AF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September!$AE$12:$AE$15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000">
                <a:solidFill>
                  <a:srgbClr val="000000"/>
                </a:solidFill>
                <a:latin typeface="Georgia"/>
              </a:defRPr>
            </a:pPr>
            <a:r>
              <a:rPr b="0" sz="2000">
                <a:solidFill>
                  <a:srgbClr val="000000"/>
                </a:solidFill>
                <a:latin typeface="Georgia"/>
              </a:rPr>
              <a:t>Left To Spend</a:t>
            </a:r>
          </a:p>
        </c:rich>
      </c:tx>
      <c:layout>
        <c:manualLayout>
          <c:xMode val="edge"/>
          <c:yMode val="edge"/>
          <c:x val="0.0014161220043572992"/>
          <c:y val="0.05518134715025907"/>
        </c:manualLayout>
      </c:layout>
      <c:overlay val="0"/>
    </c:title>
    <c:plotArea>
      <c:layout>
        <c:manualLayout>
          <c:xMode val="edge"/>
          <c:yMode val="edge"/>
          <c:x val="0.21332989336085317"/>
          <c:y val="0.2357512953367876"/>
          <c:w val="0.5241428735236782"/>
          <c:h val="0.659022078086261"/>
        </c:manualLayout>
      </c:layout>
      <c:doughnutChart>
        <c:varyColors val="1"/>
        <c:ser>
          <c:idx val="0"/>
          <c:order val="0"/>
          <c:dPt>
            <c:idx val="0"/>
            <c:spPr>
              <a:solidFill>
                <a:srgbClr val="B4A7D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September!$C$10:$D$10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60"/>
      </c:doughnutChart>
    </c:plotArea>
    <c:legend>
      <c:legendPos val="r"/>
      <c:legendEntry>
        <c:idx val="0"/>
        <c:txPr>
          <a:bodyPr/>
          <a:lstStyle/>
          <a:p>
            <a:pPr lvl="0">
              <a:defRPr sz="1400"/>
            </a:pPr>
          </a:p>
        </c:txPr>
      </c:legendEntry>
      <c:legendEntry>
        <c:idx val="1"/>
        <c:txPr>
          <a:bodyPr/>
          <a:lstStyle/>
          <a:p>
            <a:pPr lvl="0">
              <a:defRPr sz="1400"/>
            </a:pPr>
          </a:p>
        </c:txPr>
      </c:legendEntry>
      <c:overlay val="0"/>
      <c:txPr>
        <a:bodyPr/>
        <a:lstStyle/>
        <a:p>
          <a:pPr lvl="0">
            <a:defRPr b="1">
              <a:solidFill>
                <a:srgbClr val="000000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3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000000"/>
                </a:solidFill>
                <a:latin typeface="+mn-lt"/>
              </a:defRPr>
            </a:pPr>
            <a:r>
              <a:rPr b="1" sz="1400">
                <a:solidFill>
                  <a:srgbClr val="000000"/>
                </a:solidFill>
                <a:latin typeface="+mn-lt"/>
              </a:rPr>
              <a:t>Budget Vs Actual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Budget</c:v>
          </c:tx>
          <c:spPr>
            <a:solidFill>
              <a:srgbClr val="B4A7D6"/>
            </a:solidFill>
            <a:ln cmpd="sng">
              <a:solidFill>
                <a:srgbClr val="B4A7D6">
                  <a:alpha val="100000"/>
                </a:srgbClr>
              </a:solidFill>
              <a:prstDash val="solid"/>
            </a:ln>
          </c:spPr>
          <c:dPt>
            <c:idx val="0"/>
            <c:spPr>
              <a:solidFill>
                <a:srgbClr val="B4A7D6"/>
              </a:solidFill>
              <a:ln cmpd="sng">
                <a:solidFill>
                  <a:srgbClr val="B4A7D6">
                    <a:alpha val="100000"/>
                  </a:srgbClr>
                </a:solidFill>
              </a:ln>
            </c:spPr>
          </c:dPt>
          <c:dPt>
            <c:idx val="1"/>
            <c:spPr>
              <a:solidFill>
                <a:srgbClr val="B4A7D6"/>
              </a:solidFill>
              <a:ln cmpd="sng">
                <a:solidFill>
                  <a:srgbClr val="B4A7D6">
                    <a:alpha val="100000"/>
                  </a:srgbClr>
                </a:solidFill>
              </a:ln>
            </c:spPr>
          </c:dPt>
          <c:dPt>
            <c:idx val="3"/>
            <c:spPr>
              <a:solidFill>
                <a:srgbClr val="B4A7D6"/>
              </a:solidFill>
              <a:ln cmpd="sng">
                <a:solidFill>
                  <a:srgbClr val="B4A7D6">
                    <a:alpha val="100000"/>
                  </a:srgbClr>
                </a:solidFill>
              </a:ln>
            </c:spPr>
          </c:dPt>
          <c:dPt>
            <c:idx val="4"/>
            <c:spPr>
              <a:solidFill>
                <a:srgbClr val="B4A7D6"/>
              </a:solidFill>
              <a:ln cmpd="sng">
                <a:solidFill>
                  <a:srgbClr val="B4A7D6">
                    <a:alpha val="100000"/>
                  </a:srgbClr>
                </a:solidFill>
              </a:ln>
            </c:spPr>
          </c:dPt>
          <c:cat>
            <c:strRef>
              <c:f>(October!$B$18,October!$C$18,October!$D$18)</c:f>
            </c:strRef>
          </c:cat>
          <c:val>
            <c:numRef>
              <c:f>(October!$B$18,October!$C$18,October!$D$18)</c:f>
              <c:numCache/>
            </c:numRef>
          </c:val>
        </c:ser>
        <c:axId val="697761768"/>
        <c:axId val="418155636"/>
      </c:barChart>
      <c:catAx>
        <c:axId val="69776176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Cashflow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8155636"/>
      </c:catAx>
      <c:valAx>
        <c:axId val="4181556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7761768"/>
        <c:crosses val="max"/>
      </c:valAx>
    </c:plotArea>
    <c:legend>
      <c:legendPos val="r"/>
      <c:legendEntry>
        <c:idx val="0"/>
        <c:txPr>
          <a:bodyPr/>
          <a:lstStyle/>
          <a:p>
            <a:pPr lvl="0">
              <a:defRPr>
                <a:solidFill>
                  <a:srgbClr val="000000"/>
                </a:solidFill>
              </a:defRPr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000000"/>
                </a:solidFill>
                <a:latin typeface="+mn-lt"/>
              </a:defRPr>
            </a:pPr>
            <a:r>
              <a:rPr b="1" sz="1400">
                <a:solidFill>
                  <a:srgbClr val="000000"/>
                </a:solidFill>
                <a:latin typeface="+mn-lt"/>
              </a:rPr>
              <a:t>Actual Breakdown of Income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B6D7A8"/>
              </a:solidFill>
            </c:spPr>
          </c:dPt>
          <c:dPt>
            <c:idx val="1"/>
            <c:spPr>
              <a:solidFill>
                <a:srgbClr val="DD7E6B"/>
              </a:solidFill>
            </c:spPr>
          </c:dPt>
          <c:dPt>
            <c:idx val="2"/>
            <c:spPr>
              <a:solidFill>
                <a:srgbClr val="F4CCCC"/>
              </a:solidFill>
            </c:spPr>
          </c:dPt>
          <c:dPt>
            <c:idx val="3"/>
            <c:spPr>
              <a:solidFill>
                <a:srgbClr val="76A5AF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October!$AE$12:$AE$15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000">
                <a:solidFill>
                  <a:srgbClr val="000000"/>
                </a:solidFill>
                <a:latin typeface="Georgia"/>
              </a:defRPr>
            </a:pPr>
            <a:r>
              <a:rPr b="0" sz="2000">
                <a:solidFill>
                  <a:srgbClr val="000000"/>
                </a:solidFill>
                <a:latin typeface="Georgia"/>
              </a:rPr>
              <a:t>Left To Spend</a:t>
            </a:r>
          </a:p>
        </c:rich>
      </c:tx>
      <c:layout>
        <c:manualLayout>
          <c:xMode val="edge"/>
          <c:yMode val="edge"/>
          <c:x val="0.0014161220043572992"/>
          <c:y val="0.05518134715025907"/>
        </c:manualLayout>
      </c:layout>
      <c:overlay val="0"/>
    </c:title>
    <c:plotArea>
      <c:layout>
        <c:manualLayout>
          <c:xMode val="edge"/>
          <c:yMode val="edge"/>
          <c:x val="0.21332989336085317"/>
          <c:y val="0.2357512953367876"/>
          <c:w val="0.5241428735236782"/>
          <c:h val="0.659022078086261"/>
        </c:manualLayout>
      </c:layout>
      <c:doughnutChart>
        <c:varyColors val="1"/>
        <c:ser>
          <c:idx val="0"/>
          <c:order val="0"/>
          <c:dPt>
            <c:idx val="0"/>
            <c:spPr>
              <a:solidFill>
                <a:srgbClr val="B4A7D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October!$C$10:$D$10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60"/>
      </c:doughnutChart>
    </c:plotArea>
    <c:legend>
      <c:legendPos val="r"/>
      <c:legendEntry>
        <c:idx val="0"/>
        <c:txPr>
          <a:bodyPr/>
          <a:lstStyle/>
          <a:p>
            <a:pPr lvl="0">
              <a:defRPr sz="1400"/>
            </a:pPr>
          </a:p>
        </c:txPr>
      </c:legendEntry>
      <c:legendEntry>
        <c:idx val="1"/>
        <c:txPr>
          <a:bodyPr/>
          <a:lstStyle/>
          <a:p>
            <a:pPr lvl="0">
              <a:defRPr sz="1400"/>
            </a:pPr>
          </a:p>
        </c:txPr>
      </c:legendEntry>
      <c:overlay val="0"/>
      <c:txPr>
        <a:bodyPr/>
        <a:lstStyle/>
        <a:p>
          <a:pPr lvl="0">
            <a:defRPr b="1">
              <a:solidFill>
                <a:srgbClr val="000000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3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000000"/>
                </a:solidFill>
                <a:latin typeface="+mn-lt"/>
              </a:defRPr>
            </a:pPr>
            <a:r>
              <a:rPr b="1" sz="1400">
                <a:solidFill>
                  <a:srgbClr val="000000"/>
                </a:solidFill>
                <a:latin typeface="+mn-lt"/>
              </a:rPr>
              <a:t>Budget Vs Actual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Budget</c:v>
          </c:tx>
          <c:spPr>
            <a:solidFill>
              <a:srgbClr val="B4A7D6"/>
            </a:solidFill>
            <a:ln cmpd="sng">
              <a:solidFill>
                <a:srgbClr val="B4A7D6">
                  <a:alpha val="100000"/>
                </a:srgbClr>
              </a:solidFill>
              <a:prstDash val="solid"/>
            </a:ln>
          </c:spPr>
          <c:dPt>
            <c:idx val="0"/>
            <c:spPr>
              <a:solidFill>
                <a:srgbClr val="B4A7D6"/>
              </a:solidFill>
              <a:ln cmpd="sng">
                <a:solidFill>
                  <a:srgbClr val="B4A7D6">
                    <a:alpha val="100000"/>
                  </a:srgbClr>
                </a:solidFill>
              </a:ln>
            </c:spPr>
          </c:dPt>
          <c:dPt>
            <c:idx val="1"/>
            <c:spPr>
              <a:solidFill>
                <a:srgbClr val="B4A7D6"/>
              </a:solidFill>
              <a:ln cmpd="sng">
                <a:solidFill>
                  <a:srgbClr val="B4A7D6">
                    <a:alpha val="100000"/>
                  </a:srgbClr>
                </a:solidFill>
              </a:ln>
            </c:spPr>
          </c:dPt>
          <c:dPt>
            <c:idx val="3"/>
            <c:spPr>
              <a:solidFill>
                <a:srgbClr val="B4A7D6"/>
              </a:solidFill>
              <a:ln cmpd="sng">
                <a:solidFill>
                  <a:srgbClr val="B4A7D6">
                    <a:alpha val="100000"/>
                  </a:srgbClr>
                </a:solidFill>
              </a:ln>
            </c:spPr>
          </c:dPt>
          <c:dPt>
            <c:idx val="4"/>
            <c:spPr>
              <a:solidFill>
                <a:srgbClr val="B4A7D6"/>
              </a:solidFill>
              <a:ln cmpd="sng">
                <a:solidFill>
                  <a:srgbClr val="B4A7D6">
                    <a:alpha val="100000"/>
                  </a:srgbClr>
                </a:solidFill>
              </a:ln>
            </c:spPr>
          </c:dPt>
          <c:cat>
            <c:strRef>
              <c:f>(November!$B$18,November!$C$18,November!$D$18)</c:f>
            </c:strRef>
          </c:cat>
          <c:val>
            <c:numRef>
              <c:f>(November!$B$18,November!$C$18,November!$D$18)</c:f>
              <c:numCache/>
            </c:numRef>
          </c:val>
        </c:ser>
        <c:axId val="2139624102"/>
        <c:axId val="681780086"/>
      </c:barChart>
      <c:catAx>
        <c:axId val="213962410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Cashflow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1780086"/>
      </c:catAx>
      <c:valAx>
        <c:axId val="6817800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9624102"/>
        <c:crosses val="max"/>
      </c:valAx>
    </c:plotArea>
    <c:legend>
      <c:legendPos val="r"/>
      <c:legendEntry>
        <c:idx val="0"/>
        <c:txPr>
          <a:bodyPr/>
          <a:lstStyle/>
          <a:p>
            <a:pPr lvl="0">
              <a:defRPr>
                <a:solidFill>
                  <a:srgbClr val="000000"/>
                </a:solidFill>
              </a:defRPr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000000"/>
                </a:solidFill>
                <a:latin typeface="+mn-lt"/>
              </a:defRPr>
            </a:pPr>
            <a:r>
              <a:rPr b="1" sz="1400">
                <a:solidFill>
                  <a:srgbClr val="000000"/>
                </a:solidFill>
                <a:latin typeface="+mn-lt"/>
              </a:rPr>
              <a:t>Actual Breakdown of Income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B6D7A8"/>
              </a:solidFill>
            </c:spPr>
          </c:dPt>
          <c:dPt>
            <c:idx val="1"/>
            <c:spPr>
              <a:solidFill>
                <a:srgbClr val="DD7E6B"/>
              </a:solidFill>
            </c:spPr>
          </c:dPt>
          <c:dPt>
            <c:idx val="2"/>
            <c:spPr>
              <a:solidFill>
                <a:srgbClr val="F4CCCC"/>
              </a:solidFill>
            </c:spPr>
          </c:dPt>
          <c:dPt>
            <c:idx val="3"/>
            <c:spPr>
              <a:solidFill>
                <a:srgbClr val="76A5AF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November!$AE$12:$AE$15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000">
                <a:solidFill>
                  <a:srgbClr val="000000"/>
                </a:solidFill>
                <a:latin typeface="Georgia"/>
              </a:defRPr>
            </a:pPr>
            <a:r>
              <a:rPr b="0" sz="2000">
                <a:solidFill>
                  <a:srgbClr val="000000"/>
                </a:solidFill>
                <a:latin typeface="Georgia"/>
              </a:rPr>
              <a:t>Left To Spend</a:t>
            </a:r>
          </a:p>
        </c:rich>
      </c:tx>
      <c:layout>
        <c:manualLayout>
          <c:xMode val="edge"/>
          <c:yMode val="edge"/>
          <c:x val="0.0014161220043572992"/>
          <c:y val="0.05518134715025907"/>
        </c:manualLayout>
      </c:layout>
      <c:overlay val="0"/>
    </c:title>
    <c:plotArea>
      <c:layout>
        <c:manualLayout>
          <c:xMode val="edge"/>
          <c:yMode val="edge"/>
          <c:x val="0.21332989336085317"/>
          <c:y val="0.2357512953367876"/>
          <c:w val="0.5241428735236782"/>
          <c:h val="0.659022078086261"/>
        </c:manualLayout>
      </c:layout>
      <c:doughnutChart>
        <c:varyColors val="1"/>
        <c:ser>
          <c:idx val="0"/>
          <c:order val="0"/>
          <c:dPt>
            <c:idx val="0"/>
            <c:spPr>
              <a:solidFill>
                <a:srgbClr val="B4A7D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November!$C$10:$D$10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60"/>
      </c:doughnutChart>
    </c:plotArea>
    <c:legend>
      <c:legendPos val="r"/>
      <c:legendEntry>
        <c:idx val="0"/>
        <c:txPr>
          <a:bodyPr/>
          <a:lstStyle/>
          <a:p>
            <a:pPr lvl="0">
              <a:defRPr sz="1400"/>
            </a:pPr>
          </a:p>
        </c:txPr>
      </c:legendEntry>
      <c:legendEntry>
        <c:idx val="1"/>
        <c:txPr>
          <a:bodyPr/>
          <a:lstStyle/>
          <a:p>
            <a:pPr lvl="0">
              <a:defRPr sz="1400"/>
            </a:pPr>
          </a:p>
        </c:txPr>
      </c:legendEntry>
      <c:overlay val="0"/>
      <c:txPr>
        <a:bodyPr/>
        <a:lstStyle/>
        <a:p>
          <a:pPr lvl="0">
            <a:defRPr b="1">
              <a:solidFill>
                <a:srgbClr val="000000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4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000000"/>
                </a:solidFill>
                <a:latin typeface="+mn-lt"/>
              </a:defRPr>
            </a:pPr>
            <a:r>
              <a:rPr b="1" sz="1400">
                <a:solidFill>
                  <a:srgbClr val="000000"/>
                </a:solidFill>
                <a:latin typeface="+mn-lt"/>
              </a:rPr>
              <a:t>Budget Vs Actual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Budget</c:v>
          </c:tx>
          <c:spPr>
            <a:solidFill>
              <a:srgbClr val="B4A7D6"/>
            </a:solidFill>
            <a:ln cmpd="sng">
              <a:solidFill>
                <a:srgbClr val="B4A7D6">
                  <a:alpha val="100000"/>
                </a:srgbClr>
              </a:solidFill>
              <a:prstDash val="solid"/>
            </a:ln>
          </c:spPr>
          <c:dPt>
            <c:idx val="0"/>
            <c:spPr>
              <a:solidFill>
                <a:srgbClr val="B4A7D6"/>
              </a:solidFill>
              <a:ln cmpd="sng">
                <a:solidFill>
                  <a:srgbClr val="B4A7D6">
                    <a:alpha val="100000"/>
                  </a:srgbClr>
                </a:solidFill>
              </a:ln>
            </c:spPr>
          </c:dPt>
          <c:dPt>
            <c:idx val="1"/>
            <c:spPr>
              <a:solidFill>
                <a:srgbClr val="B4A7D6"/>
              </a:solidFill>
              <a:ln cmpd="sng">
                <a:solidFill>
                  <a:srgbClr val="B4A7D6">
                    <a:alpha val="100000"/>
                  </a:srgbClr>
                </a:solidFill>
              </a:ln>
            </c:spPr>
          </c:dPt>
          <c:dPt>
            <c:idx val="3"/>
            <c:spPr>
              <a:solidFill>
                <a:srgbClr val="B4A7D6"/>
              </a:solidFill>
              <a:ln cmpd="sng">
                <a:solidFill>
                  <a:srgbClr val="B4A7D6">
                    <a:alpha val="100000"/>
                  </a:srgbClr>
                </a:solidFill>
              </a:ln>
            </c:spPr>
          </c:dPt>
          <c:dPt>
            <c:idx val="4"/>
            <c:spPr>
              <a:solidFill>
                <a:srgbClr val="B4A7D6"/>
              </a:solidFill>
              <a:ln cmpd="sng">
                <a:solidFill>
                  <a:srgbClr val="B4A7D6">
                    <a:alpha val="100000"/>
                  </a:srgbClr>
                </a:solidFill>
              </a:ln>
            </c:spPr>
          </c:dPt>
          <c:cat>
            <c:strRef>
              <c:f>(December!$B$18,December!$C$18,December!$D$18)</c:f>
            </c:strRef>
          </c:cat>
          <c:val>
            <c:numRef>
              <c:f>(December!$B$18,December!$C$18,December!$D$18)</c:f>
              <c:numCache/>
            </c:numRef>
          </c:val>
        </c:ser>
        <c:axId val="1062082434"/>
        <c:axId val="1097058687"/>
      </c:barChart>
      <c:catAx>
        <c:axId val="106208243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Cashflow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7058687"/>
      </c:catAx>
      <c:valAx>
        <c:axId val="10970586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2082434"/>
        <c:crosses val="max"/>
      </c:valAx>
    </c:plotArea>
    <c:legend>
      <c:legendPos val="r"/>
      <c:legendEntry>
        <c:idx val="0"/>
        <c:txPr>
          <a:bodyPr/>
          <a:lstStyle/>
          <a:p>
            <a:pPr lvl="0">
              <a:defRPr>
                <a:solidFill>
                  <a:srgbClr val="000000"/>
                </a:solidFill>
              </a:defRPr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4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000000"/>
                </a:solidFill>
                <a:latin typeface="+mn-lt"/>
              </a:defRPr>
            </a:pPr>
            <a:r>
              <a:rPr b="1" sz="1400">
                <a:solidFill>
                  <a:srgbClr val="000000"/>
                </a:solidFill>
                <a:latin typeface="+mn-lt"/>
              </a:rPr>
              <a:t>Actual Breakdown of Income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B6D7A8"/>
              </a:solidFill>
            </c:spPr>
          </c:dPt>
          <c:dPt>
            <c:idx val="1"/>
            <c:spPr>
              <a:solidFill>
                <a:srgbClr val="DD7E6B"/>
              </a:solidFill>
            </c:spPr>
          </c:dPt>
          <c:dPt>
            <c:idx val="2"/>
            <c:spPr>
              <a:solidFill>
                <a:srgbClr val="F4CCCC"/>
              </a:solidFill>
            </c:spPr>
          </c:dPt>
          <c:dPt>
            <c:idx val="3"/>
            <c:spPr>
              <a:solidFill>
                <a:srgbClr val="76A5AF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December!$AE$12:$AE$15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000">
                <a:solidFill>
                  <a:srgbClr val="000000"/>
                </a:solidFill>
                <a:latin typeface="Georgia"/>
              </a:defRPr>
            </a:pPr>
            <a:r>
              <a:rPr b="0" sz="2000">
                <a:solidFill>
                  <a:srgbClr val="000000"/>
                </a:solidFill>
                <a:latin typeface="Georgia"/>
              </a:rPr>
              <a:t>Left To Spend</a:t>
            </a:r>
          </a:p>
        </c:rich>
      </c:tx>
      <c:layout>
        <c:manualLayout>
          <c:xMode val="edge"/>
          <c:yMode val="edge"/>
          <c:x val="0.0014161220043572992"/>
          <c:y val="0.05518134715025907"/>
        </c:manualLayout>
      </c:layout>
      <c:overlay val="0"/>
    </c:title>
    <c:plotArea>
      <c:layout>
        <c:manualLayout>
          <c:xMode val="edge"/>
          <c:yMode val="edge"/>
          <c:x val="0.21332989336085317"/>
          <c:y val="0.2357512953367876"/>
          <c:w val="0.5241428735236782"/>
          <c:h val="0.659022078086261"/>
        </c:manualLayout>
      </c:layout>
      <c:doughnutChart>
        <c:varyColors val="1"/>
        <c:ser>
          <c:idx val="0"/>
          <c:order val="0"/>
          <c:dPt>
            <c:idx val="0"/>
            <c:spPr>
              <a:solidFill>
                <a:srgbClr val="B4A7D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December!$C$10:$D$10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60"/>
      </c:doughnutChart>
    </c:plotArea>
    <c:legend>
      <c:legendPos val="r"/>
      <c:legendEntry>
        <c:idx val="0"/>
        <c:txPr>
          <a:bodyPr/>
          <a:lstStyle/>
          <a:p>
            <a:pPr lvl="0">
              <a:defRPr sz="1400"/>
            </a:pPr>
          </a:p>
        </c:txPr>
      </c:legendEntry>
      <c:legendEntry>
        <c:idx val="1"/>
        <c:txPr>
          <a:bodyPr/>
          <a:lstStyle/>
          <a:p>
            <a:pPr lvl="0">
              <a:defRPr sz="1400"/>
            </a:pPr>
          </a:p>
        </c:txPr>
      </c:legendEntry>
      <c:overlay val="0"/>
      <c:txPr>
        <a:bodyPr/>
        <a:lstStyle/>
        <a:p>
          <a:pPr lvl="0">
            <a:defRPr b="1">
              <a:solidFill>
                <a:srgbClr val="000000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Relationship Id="rId3" Type="http://schemas.openxmlformats.org/officeDocument/2006/relationships/chart" Target="../charts/chart12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Relationship Id="rId3" Type="http://schemas.openxmlformats.org/officeDocument/2006/relationships/chart" Target="../charts/chart1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6.xml"/><Relationship Id="rId2" Type="http://schemas.openxmlformats.org/officeDocument/2006/relationships/chart" Target="../charts/chart17.xml"/><Relationship Id="rId3" Type="http://schemas.openxmlformats.org/officeDocument/2006/relationships/chart" Target="../charts/chart18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9.xml"/><Relationship Id="rId2" Type="http://schemas.openxmlformats.org/officeDocument/2006/relationships/chart" Target="../charts/chart20.xml"/><Relationship Id="rId3" Type="http://schemas.openxmlformats.org/officeDocument/2006/relationships/chart" Target="../charts/chart21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22.xml"/><Relationship Id="rId2" Type="http://schemas.openxmlformats.org/officeDocument/2006/relationships/chart" Target="../charts/chart23.xml"/><Relationship Id="rId3" Type="http://schemas.openxmlformats.org/officeDocument/2006/relationships/chart" Target="../charts/chart24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25.xml"/><Relationship Id="rId2" Type="http://schemas.openxmlformats.org/officeDocument/2006/relationships/chart" Target="../charts/chart26.xml"/><Relationship Id="rId3" Type="http://schemas.openxmlformats.org/officeDocument/2006/relationships/chart" Target="../charts/chart27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28.xml"/><Relationship Id="rId2" Type="http://schemas.openxmlformats.org/officeDocument/2006/relationships/chart" Target="../charts/chart29.xml"/><Relationship Id="rId3" Type="http://schemas.openxmlformats.org/officeDocument/2006/relationships/chart" Target="../charts/chart30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31.xml"/><Relationship Id="rId2" Type="http://schemas.openxmlformats.org/officeDocument/2006/relationships/chart" Target="../charts/chart32.xml"/><Relationship Id="rId3" Type="http://schemas.openxmlformats.org/officeDocument/2006/relationships/chart" Target="../charts/chart33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4.xml"/><Relationship Id="rId2" Type="http://schemas.openxmlformats.org/officeDocument/2006/relationships/chart" Target="../charts/chart35.xml"/><Relationship Id="rId3" Type="http://schemas.openxmlformats.org/officeDocument/2006/relationships/chart" Target="../charts/chart36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7.xml"/><Relationship Id="rId2" Type="http://schemas.openxmlformats.org/officeDocument/2006/relationships/chart" Target="../charts/chart38.xml"/><Relationship Id="rId3" Type="http://schemas.openxmlformats.org/officeDocument/2006/relationships/chart" Target="../charts/chart39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0.xml"/><Relationship Id="rId2" Type="http://schemas.openxmlformats.org/officeDocument/2006/relationships/chart" Target="../charts/chart41.xml"/><Relationship Id="rId3" Type="http://schemas.openxmlformats.org/officeDocument/2006/relationships/chart" Target="../charts/chart4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171450</xdr:colOff>
      <xdr:row>9</xdr:row>
      <xdr:rowOff>161925</xdr:rowOff>
    </xdr:from>
    <xdr:ext cx="4067175" cy="18764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16</xdr:col>
      <xdr:colOff>190500</xdr:colOff>
      <xdr:row>9</xdr:row>
      <xdr:rowOff>180975</xdr:rowOff>
    </xdr:from>
    <xdr:ext cx="3609975" cy="18573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123825</xdr:colOff>
      <xdr:row>9</xdr:row>
      <xdr:rowOff>171450</xdr:rowOff>
    </xdr:from>
    <xdr:ext cx="4800600" cy="17716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</xdr:colOff>
      <xdr:row>9</xdr:row>
      <xdr:rowOff>200025</xdr:rowOff>
    </xdr:from>
    <xdr:ext cx="4343400" cy="18192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18</xdr:col>
      <xdr:colOff>76200</xdr:colOff>
      <xdr:row>9</xdr:row>
      <xdr:rowOff>180975</xdr:rowOff>
    </xdr:from>
    <xdr:ext cx="3019425" cy="18573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66675</xdr:colOff>
      <xdr:row>9</xdr:row>
      <xdr:rowOff>180975</xdr:rowOff>
    </xdr:from>
    <xdr:ext cx="7258050" cy="18573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171450</xdr:colOff>
      <xdr:row>9</xdr:row>
      <xdr:rowOff>161925</xdr:rowOff>
    </xdr:from>
    <xdr:ext cx="4067175" cy="187642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16</xdr:col>
      <xdr:colOff>190500</xdr:colOff>
      <xdr:row>9</xdr:row>
      <xdr:rowOff>180975</xdr:rowOff>
    </xdr:from>
    <xdr:ext cx="3609975" cy="18573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123825</xdr:colOff>
      <xdr:row>9</xdr:row>
      <xdr:rowOff>161925</xdr:rowOff>
    </xdr:from>
    <xdr:ext cx="4800600" cy="1771650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171450</xdr:colOff>
      <xdr:row>9</xdr:row>
      <xdr:rowOff>161925</xdr:rowOff>
    </xdr:from>
    <xdr:ext cx="4067175" cy="187642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16</xdr:col>
      <xdr:colOff>190500</xdr:colOff>
      <xdr:row>9</xdr:row>
      <xdr:rowOff>180975</xdr:rowOff>
    </xdr:from>
    <xdr:ext cx="3609975" cy="185737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123825</xdr:colOff>
      <xdr:row>9</xdr:row>
      <xdr:rowOff>161925</xdr:rowOff>
    </xdr:from>
    <xdr:ext cx="4800600" cy="1771650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171450</xdr:colOff>
      <xdr:row>9</xdr:row>
      <xdr:rowOff>161925</xdr:rowOff>
    </xdr:from>
    <xdr:ext cx="4067175" cy="1876425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16</xdr:col>
      <xdr:colOff>190500</xdr:colOff>
      <xdr:row>9</xdr:row>
      <xdr:rowOff>180975</xdr:rowOff>
    </xdr:from>
    <xdr:ext cx="3609975" cy="1857375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123825</xdr:colOff>
      <xdr:row>9</xdr:row>
      <xdr:rowOff>161925</xdr:rowOff>
    </xdr:from>
    <xdr:ext cx="4800600" cy="1771650"/>
    <xdr:graphicFrame>
      <xdr:nvGraphicFramePr>
        <xdr:cNvPr id="15" name="Chart 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171450</xdr:colOff>
      <xdr:row>9</xdr:row>
      <xdr:rowOff>161925</xdr:rowOff>
    </xdr:from>
    <xdr:ext cx="4067175" cy="1876425"/>
    <xdr:graphicFrame>
      <xdr:nvGraphicFramePr>
        <xdr:cNvPr id="16" name="Chart 1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16</xdr:col>
      <xdr:colOff>190500</xdr:colOff>
      <xdr:row>9</xdr:row>
      <xdr:rowOff>180975</xdr:rowOff>
    </xdr:from>
    <xdr:ext cx="3609975" cy="1857375"/>
    <xdr:graphicFrame>
      <xdr:nvGraphicFramePr>
        <xdr:cNvPr id="17" name="Chart 1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123825</xdr:colOff>
      <xdr:row>9</xdr:row>
      <xdr:rowOff>161925</xdr:rowOff>
    </xdr:from>
    <xdr:ext cx="4800600" cy="1771650"/>
    <xdr:graphicFrame>
      <xdr:nvGraphicFramePr>
        <xdr:cNvPr id="18" name="Chart 1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171450</xdr:colOff>
      <xdr:row>9</xdr:row>
      <xdr:rowOff>161925</xdr:rowOff>
    </xdr:from>
    <xdr:ext cx="4067175" cy="1876425"/>
    <xdr:graphicFrame>
      <xdr:nvGraphicFramePr>
        <xdr:cNvPr id="19" name="Chart 1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16</xdr:col>
      <xdr:colOff>190500</xdr:colOff>
      <xdr:row>9</xdr:row>
      <xdr:rowOff>180975</xdr:rowOff>
    </xdr:from>
    <xdr:ext cx="3609975" cy="1857375"/>
    <xdr:graphicFrame>
      <xdr:nvGraphicFramePr>
        <xdr:cNvPr id="20" name="Chart 2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123825</xdr:colOff>
      <xdr:row>9</xdr:row>
      <xdr:rowOff>161925</xdr:rowOff>
    </xdr:from>
    <xdr:ext cx="4800600" cy="1771650"/>
    <xdr:graphicFrame>
      <xdr:nvGraphicFramePr>
        <xdr:cNvPr id="21" name="Chart 2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171450</xdr:colOff>
      <xdr:row>9</xdr:row>
      <xdr:rowOff>161925</xdr:rowOff>
    </xdr:from>
    <xdr:ext cx="4067175" cy="1876425"/>
    <xdr:graphicFrame>
      <xdr:nvGraphicFramePr>
        <xdr:cNvPr id="22" name="Chart 2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16</xdr:col>
      <xdr:colOff>190500</xdr:colOff>
      <xdr:row>9</xdr:row>
      <xdr:rowOff>180975</xdr:rowOff>
    </xdr:from>
    <xdr:ext cx="3609975" cy="1857375"/>
    <xdr:graphicFrame>
      <xdr:nvGraphicFramePr>
        <xdr:cNvPr id="23" name="Chart 2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123825</xdr:colOff>
      <xdr:row>9</xdr:row>
      <xdr:rowOff>161925</xdr:rowOff>
    </xdr:from>
    <xdr:ext cx="4800600" cy="1771650"/>
    <xdr:graphicFrame>
      <xdr:nvGraphicFramePr>
        <xdr:cNvPr id="24" name="Chart 2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171450</xdr:colOff>
      <xdr:row>9</xdr:row>
      <xdr:rowOff>161925</xdr:rowOff>
    </xdr:from>
    <xdr:ext cx="4067175" cy="1876425"/>
    <xdr:graphicFrame>
      <xdr:nvGraphicFramePr>
        <xdr:cNvPr id="25" name="Chart 2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16</xdr:col>
      <xdr:colOff>190500</xdr:colOff>
      <xdr:row>9</xdr:row>
      <xdr:rowOff>180975</xdr:rowOff>
    </xdr:from>
    <xdr:ext cx="3609975" cy="1857375"/>
    <xdr:graphicFrame>
      <xdr:nvGraphicFramePr>
        <xdr:cNvPr id="26" name="Chart 2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123825</xdr:colOff>
      <xdr:row>9</xdr:row>
      <xdr:rowOff>161925</xdr:rowOff>
    </xdr:from>
    <xdr:ext cx="4800600" cy="1771650"/>
    <xdr:graphicFrame>
      <xdr:nvGraphicFramePr>
        <xdr:cNvPr id="27" name="Chart 2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171450</xdr:colOff>
      <xdr:row>9</xdr:row>
      <xdr:rowOff>161925</xdr:rowOff>
    </xdr:from>
    <xdr:ext cx="4067175" cy="1876425"/>
    <xdr:graphicFrame>
      <xdr:nvGraphicFramePr>
        <xdr:cNvPr id="28" name="Chart 2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16</xdr:col>
      <xdr:colOff>190500</xdr:colOff>
      <xdr:row>9</xdr:row>
      <xdr:rowOff>180975</xdr:rowOff>
    </xdr:from>
    <xdr:ext cx="3609975" cy="1857375"/>
    <xdr:graphicFrame>
      <xdr:nvGraphicFramePr>
        <xdr:cNvPr id="29" name="Chart 2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123825</xdr:colOff>
      <xdr:row>9</xdr:row>
      <xdr:rowOff>161925</xdr:rowOff>
    </xdr:from>
    <xdr:ext cx="4800600" cy="1771650"/>
    <xdr:graphicFrame>
      <xdr:nvGraphicFramePr>
        <xdr:cNvPr id="30" name="Chart 3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171450</xdr:colOff>
      <xdr:row>9</xdr:row>
      <xdr:rowOff>161925</xdr:rowOff>
    </xdr:from>
    <xdr:ext cx="4067175" cy="1876425"/>
    <xdr:graphicFrame>
      <xdr:nvGraphicFramePr>
        <xdr:cNvPr id="31" name="Chart 3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16</xdr:col>
      <xdr:colOff>190500</xdr:colOff>
      <xdr:row>9</xdr:row>
      <xdr:rowOff>180975</xdr:rowOff>
    </xdr:from>
    <xdr:ext cx="3609975" cy="1857375"/>
    <xdr:graphicFrame>
      <xdr:nvGraphicFramePr>
        <xdr:cNvPr id="32" name="Chart 3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123825</xdr:colOff>
      <xdr:row>9</xdr:row>
      <xdr:rowOff>161925</xdr:rowOff>
    </xdr:from>
    <xdr:ext cx="4800600" cy="1771650"/>
    <xdr:graphicFrame>
      <xdr:nvGraphicFramePr>
        <xdr:cNvPr id="33" name="Chart 3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171450</xdr:colOff>
      <xdr:row>9</xdr:row>
      <xdr:rowOff>161925</xdr:rowOff>
    </xdr:from>
    <xdr:ext cx="4067175" cy="1876425"/>
    <xdr:graphicFrame>
      <xdr:nvGraphicFramePr>
        <xdr:cNvPr id="34" name="Chart 3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16</xdr:col>
      <xdr:colOff>190500</xdr:colOff>
      <xdr:row>9</xdr:row>
      <xdr:rowOff>180975</xdr:rowOff>
    </xdr:from>
    <xdr:ext cx="3609975" cy="1857375"/>
    <xdr:graphicFrame>
      <xdr:nvGraphicFramePr>
        <xdr:cNvPr id="35" name="Chart 3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123825</xdr:colOff>
      <xdr:row>9</xdr:row>
      <xdr:rowOff>161925</xdr:rowOff>
    </xdr:from>
    <xdr:ext cx="4800600" cy="1771650"/>
    <xdr:graphicFrame>
      <xdr:nvGraphicFramePr>
        <xdr:cNvPr id="36" name="Chart 3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171450</xdr:colOff>
      <xdr:row>9</xdr:row>
      <xdr:rowOff>161925</xdr:rowOff>
    </xdr:from>
    <xdr:ext cx="4067175" cy="1876425"/>
    <xdr:graphicFrame>
      <xdr:nvGraphicFramePr>
        <xdr:cNvPr id="37" name="Chart 3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16</xdr:col>
      <xdr:colOff>190500</xdr:colOff>
      <xdr:row>9</xdr:row>
      <xdr:rowOff>180975</xdr:rowOff>
    </xdr:from>
    <xdr:ext cx="3609975" cy="1857375"/>
    <xdr:graphicFrame>
      <xdr:nvGraphicFramePr>
        <xdr:cNvPr id="38" name="Chart 3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123825</xdr:colOff>
      <xdr:row>9</xdr:row>
      <xdr:rowOff>161925</xdr:rowOff>
    </xdr:from>
    <xdr:ext cx="4800600" cy="1771650"/>
    <xdr:graphicFrame>
      <xdr:nvGraphicFramePr>
        <xdr:cNvPr id="39" name="Chart 3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171450</xdr:colOff>
      <xdr:row>9</xdr:row>
      <xdr:rowOff>161925</xdr:rowOff>
    </xdr:from>
    <xdr:ext cx="4067175" cy="1876425"/>
    <xdr:graphicFrame>
      <xdr:nvGraphicFramePr>
        <xdr:cNvPr id="40" name="Chart 4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16</xdr:col>
      <xdr:colOff>190500</xdr:colOff>
      <xdr:row>9</xdr:row>
      <xdr:rowOff>180975</xdr:rowOff>
    </xdr:from>
    <xdr:ext cx="3609975" cy="1857375"/>
    <xdr:graphicFrame>
      <xdr:nvGraphicFramePr>
        <xdr:cNvPr id="41" name="Chart 4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123825</xdr:colOff>
      <xdr:row>9</xdr:row>
      <xdr:rowOff>161925</xdr:rowOff>
    </xdr:from>
    <xdr:ext cx="4800600" cy="1771650"/>
    <xdr:graphicFrame>
      <xdr:nvGraphicFramePr>
        <xdr:cNvPr id="42" name="Chart 4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15.0"/>
    <col customWidth="1" min="5" max="5" width="1.38"/>
    <col customWidth="1" min="6" max="6" width="3.38"/>
    <col customWidth="1" min="7" max="7" width="15.5"/>
    <col customWidth="1" min="8" max="8" width="7.0"/>
    <col customWidth="1" min="12" max="12" width="2.63"/>
    <col customWidth="1" min="13" max="13" width="15.13"/>
    <col customWidth="1" min="17" max="17" width="2.63"/>
    <col customWidth="1" min="18" max="18" width="3.13"/>
    <col customWidth="1" min="19" max="19" width="13.25"/>
    <col customWidth="1" min="20" max="20" width="5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40.5" customHeight="1">
      <c r="A2" s="1"/>
      <c r="B2" s="1"/>
      <c r="C2" s="2" t="s">
        <v>0</v>
      </c>
      <c r="D2" s="1"/>
      <c r="E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ht="5.25" customHeight="1">
      <c r="A3" s="1"/>
      <c r="B3" s="1"/>
      <c r="C3" s="1"/>
      <c r="D3" s="1"/>
      <c r="E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>
      <c r="A4" s="1"/>
      <c r="B4" s="3" t="s">
        <v>1</v>
      </c>
      <c r="C4" s="4"/>
      <c r="D4" s="5"/>
      <c r="E4" s="1"/>
      <c r="F4" s="6" t="s">
        <v>2</v>
      </c>
      <c r="G4" s="4"/>
      <c r="H4" s="4"/>
      <c r="I4" s="4"/>
      <c r="J4" s="7" t="s">
        <v>3</v>
      </c>
      <c r="K4" s="4"/>
      <c r="L4" s="4"/>
      <c r="M4" s="4"/>
      <c r="N4" s="7" t="s">
        <v>4</v>
      </c>
      <c r="O4" s="4"/>
      <c r="P4" s="4"/>
      <c r="Q4" s="8" t="s">
        <v>5</v>
      </c>
      <c r="R4" s="4"/>
      <c r="S4" s="4"/>
      <c r="T4" s="4"/>
      <c r="U4" s="7" t="s">
        <v>6</v>
      </c>
      <c r="V4" s="5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>
      <c r="A5" s="1"/>
      <c r="B5" s="9"/>
      <c r="C5" s="10"/>
      <c r="D5" s="11"/>
      <c r="E5" s="1"/>
      <c r="F5" s="12"/>
      <c r="V5" s="13"/>
      <c r="W5" s="1"/>
      <c r="X5" s="1"/>
      <c r="Y5" s="1"/>
      <c r="Z5" s="1"/>
      <c r="AA5" s="1"/>
      <c r="AB5" s="1"/>
      <c r="AC5" s="1"/>
      <c r="AD5" s="14"/>
      <c r="AE5" s="14"/>
      <c r="AF5" s="1"/>
      <c r="AG5" s="1"/>
    </row>
    <row r="6">
      <c r="A6" s="1"/>
      <c r="B6" s="15" t="s">
        <v>7</v>
      </c>
      <c r="C6" s="16">
        <v>45658.0</v>
      </c>
      <c r="D6" s="17"/>
      <c r="E6" s="1"/>
      <c r="F6" s="12"/>
      <c r="V6" s="13"/>
      <c r="W6" s="1"/>
      <c r="X6" s="1"/>
      <c r="Y6" s="1"/>
      <c r="Z6" s="1"/>
      <c r="AA6" s="1"/>
      <c r="AB6" s="1"/>
      <c r="AC6" s="1"/>
      <c r="AD6" s="14"/>
      <c r="AE6" s="14"/>
      <c r="AF6" s="1"/>
      <c r="AG6" s="1"/>
    </row>
    <row r="7">
      <c r="A7" s="1"/>
      <c r="B7" s="15" t="s">
        <v>8</v>
      </c>
      <c r="C7" s="16">
        <v>45688.0</v>
      </c>
      <c r="D7" s="17"/>
      <c r="E7" s="1"/>
      <c r="F7" s="18">
        <f>D15</f>
        <v>8000</v>
      </c>
      <c r="J7" s="19">
        <f>D19</f>
        <v>814</v>
      </c>
      <c r="N7" s="20">
        <f>D17</f>
        <v>7426</v>
      </c>
      <c r="Q7" s="19">
        <f>D18</f>
        <v>750</v>
      </c>
      <c r="U7" s="19">
        <f>D16</f>
        <v>1010</v>
      </c>
      <c r="V7" s="13"/>
      <c r="W7" s="1"/>
      <c r="X7" s="1"/>
      <c r="Y7" s="1"/>
      <c r="Z7" s="1"/>
      <c r="AA7" s="1"/>
      <c r="AB7" s="1"/>
      <c r="AC7" s="1"/>
      <c r="AD7" s="14"/>
      <c r="AE7" s="14"/>
      <c r="AF7" s="1"/>
      <c r="AG7" s="1"/>
    </row>
    <row r="8">
      <c r="A8" s="1"/>
      <c r="B8" s="15" t="s">
        <v>9</v>
      </c>
      <c r="C8" s="21" t="s">
        <v>10</v>
      </c>
      <c r="D8" s="17"/>
      <c r="E8" s="1"/>
      <c r="F8" s="12"/>
      <c r="V8" s="13"/>
      <c r="W8" s="1"/>
      <c r="X8" s="1"/>
      <c r="Y8" s="1"/>
      <c r="AA8" s="1"/>
      <c r="AB8" s="1"/>
      <c r="AC8" s="1"/>
      <c r="AD8" s="14"/>
      <c r="AE8" s="14"/>
      <c r="AF8" s="1"/>
      <c r="AG8" s="1"/>
    </row>
    <row r="9">
      <c r="A9" s="1"/>
      <c r="B9" s="22" t="s">
        <v>11</v>
      </c>
      <c r="C9" s="23">
        <v>2000.0</v>
      </c>
      <c r="D9" s="24"/>
      <c r="E9" s="1"/>
      <c r="F9" s="25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7"/>
      <c r="W9" s="1"/>
      <c r="X9" s="1"/>
      <c r="Y9" s="1"/>
      <c r="Z9" s="1"/>
      <c r="AA9" s="1"/>
      <c r="AB9" s="1"/>
      <c r="AC9" s="1"/>
      <c r="AD9" s="14"/>
      <c r="AE9" s="14"/>
      <c r="AF9" s="1"/>
      <c r="AG9" s="1"/>
    </row>
    <row r="10">
      <c r="A10" s="1"/>
      <c r="B10" s="28" t="s">
        <v>12</v>
      </c>
      <c r="C10" s="29">
        <f>D16+D17+D18</f>
        <v>9186</v>
      </c>
      <c r="D10" s="29">
        <f>D19</f>
        <v>814</v>
      </c>
      <c r="E10" s="1"/>
      <c r="W10" s="1"/>
      <c r="X10" s="1"/>
      <c r="Y10" s="1"/>
      <c r="Z10" s="1"/>
      <c r="AA10" s="1"/>
      <c r="AB10" s="1"/>
      <c r="AC10" s="30"/>
      <c r="AD10" s="30"/>
      <c r="AE10" s="30"/>
      <c r="AF10" s="30"/>
      <c r="AG10" s="1"/>
    </row>
    <row r="11">
      <c r="A11" s="1"/>
      <c r="B11" s="31" t="s">
        <v>13</v>
      </c>
      <c r="C11" s="4"/>
      <c r="D11" s="5"/>
      <c r="E11" s="1"/>
      <c r="F11" s="32"/>
      <c r="G11" s="33"/>
      <c r="H11" s="33"/>
      <c r="I11" s="33"/>
      <c r="J11" s="33"/>
      <c r="K11" s="34"/>
      <c r="M11" s="32"/>
      <c r="N11" s="33"/>
      <c r="O11" s="33"/>
      <c r="P11" s="34"/>
      <c r="R11" s="32"/>
      <c r="S11" s="33"/>
      <c r="T11" s="33"/>
      <c r="U11" s="33"/>
      <c r="V11" s="34"/>
      <c r="W11" s="1"/>
      <c r="X11" s="1"/>
      <c r="Y11" s="1"/>
      <c r="Z11" s="1"/>
      <c r="AA11" s="1"/>
      <c r="AB11" s="1"/>
      <c r="AC11" s="30"/>
      <c r="AD11" s="30"/>
      <c r="AE11" s="30"/>
      <c r="AF11" s="30"/>
      <c r="AG11" s="1"/>
    </row>
    <row r="12">
      <c r="A12" s="1"/>
      <c r="B12" s="12"/>
      <c r="D12" s="13"/>
      <c r="E12" s="1"/>
      <c r="F12" s="35"/>
      <c r="G12" s="36"/>
      <c r="H12" s="36"/>
      <c r="I12" s="36"/>
      <c r="J12" s="36"/>
      <c r="K12" s="37"/>
      <c r="L12" s="1"/>
      <c r="M12" s="38"/>
      <c r="N12" s="1"/>
      <c r="O12" s="1"/>
      <c r="P12" s="39"/>
      <c r="Q12" s="1"/>
      <c r="R12" s="38"/>
      <c r="S12" s="1"/>
      <c r="T12" s="1"/>
      <c r="U12" s="1"/>
      <c r="V12" s="39"/>
      <c r="W12" s="1"/>
      <c r="X12" s="1"/>
      <c r="Y12" s="1"/>
      <c r="Z12" s="1"/>
      <c r="AA12" s="1"/>
      <c r="AB12" s="1"/>
      <c r="AC12" s="30"/>
      <c r="AD12" s="28" t="s">
        <v>14</v>
      </c>
      <c r="AE12" s="29">
        <f>V49</f>
        <v>750</v>
      </c>
      <c r="AF12" s="30"/>
      <c r="AG12" s="1"/>
    </row>
    <row r="13">
      <c r="A13" s="1"/>
      <c r="B13" s="40"/>
      <c r="C13" s="41" t="s">
        <v>15</v>
      </c>
      <c r="D13" s="42" t="s">
        <v>16</v>
      </c>
      <c r="E13" s="1"/>
      <c r="F13" s="43"/>
      <c r="G13" s="36"/>
      <c r="H13" s="36"/>
      <c r="I13" s="36"/>
      <c r="J13" s="36"/>
      <c r="K13" s="37"/>
      <c r="L13" s="1"/>
      <c r="M13" s="38"/>
      <c r="N13" s="1"/>
      <c r="O13" s="1"/>
      <c r="P13" s="39"/>
      <c r="Q13" s="1"/>
      <c r="R13" s="38"/>
      <c r="S13" s="1"/>
      <c r="T13" s="1"/>
      <c r="U13" s="1"/>
      <c r="V13" s="39"/>
      <c r="W13" s="1"/>
      <c r="X13" s="1"/>
      <c r="Y13" s="1"/>
      <c r="Z13" s="1"/>
      <c r="AA13" s="1"/>
      <c r="AB13" s="1"/>
      <c r="AC13" s="30"/>
      <c r="AD13" s="28" t="s">
        <v>17</v>
      </c>
      <c r="AE13" s="29">
        <f>J63</f>
        <v>2746</v>
      </c>
      <c r="AF13" s="30"/>
      <c r="AG13" s="1"/>
    </row>
    <row r="14">
      <c r="A14" s="1"/>
      <c r="B14" s="44" t="s">
        <v>11</v>
      </c>
      <c r="C14" s="45">
        <f>C9</f>
        <v>2000</v>
      </c>
      <c r="D14" s="46">
        <f>C9</f>
        <v>2000</v>
      </c>
      <c r="E14" s="47" t="s">
        <v>18</v>
      </c>
      <c r="F14" s="43"/>
      <c r="G14" s="36"/>
      <c r="H14" s="36"/>
      <c r="I14" s="36"/>
      <c r="J14" s="36"/>
      <c r="K14" s="37"/>
      <c r="L14" s="1"/>
      <c r="M14" s="38"/>
      <c r="N14" s="1"/>
      <c r="O14" s="1"/>
      <c r="P14" s="39"/>
      <c r="Q14" s="1"/>
      <c r="R14" s="38"/>
      <c r="S14" s="1"/>
      <c r="T14" s="1"/>
      <c r="U14" s="1"/>
      <c r="V14" s="39"/>
      <c r="W14" s="1"/>
      <c r="X14" s="1"/>
      <c r="Y14" s="1"/>
      <c r="Z14" s="1"/>
      <c r="AA14" s="1"/>
      <c r="AB14" s="1"/>
      <c r="AC14" s="30"/>
      <c r="AD14" s="28" t="s">
        <v>19</v>
      </c>
      <c r="AE14" s="48">
        <f>O63</f>
        <v>4680</v>
      </c>
      <c r="AF14" s="30"/>
      <c r="AG14" s="1"/>
    </row>
    <row r="15">
      <c r="A15" s="1"/>
      <c r="B15" s="15" t="s">
        <v>20</v>
      </c>
      <c r="C15" s="49">
        <f t="shared" ref="C15:D15" si="1">C29+C39</f>
        <v>7847</v>
      </c>
      <c r="D15" s="50">
        <f t="shared" si="1"/>
        <v>8000</v>
      </c>
      <c r="E15" s="1"/>
      <c r="F15" s="43"/>
      <c r="G15" s="51"/>
      <c r="H15" s="51"/>
      <c r="I15" s="52">
        <f>D19</f>
        <v>814</v>
      </c>
      <c r="J15" s="51"/>
      <c r="K15" s="37"/>
      <c r="L15" s="1"/>
      <c r="M15" s="38"/>
      <c r="N15" s="1"/>
      <c r="O15" s="1"/>
      <c r="P15" s="39"/>
      <c r="Q15" s="1"/>
      <c r="R15" s="38"/>
      <c r="S15" s="1"/>
      <c r="T15" s="1"/>
      <c r="U15" s="1"/>
      <c r="V15" s="39"/>
      <c r="W15" s="1"/>
      <c r="X15" s="1"/>
      <c r="Y15" s="1"/>
      <c r="Z15" s="1"/>
      <c r="AA15" s="1"/>
      <c r="AB15" s="1"/>
      <c r="AC15" s="30"/>
      <c r="AD15" s="28" t="s">
        <v>21</v>
      </c>
      <c r="AE15" s="29">
        <f>D63</f>
        <v>1010</v>
      </c>
      <c r="AF15" s="30"/>
      <c r="AG15" s="1"/>
    </row>
    <row r="16">
      <c r="A16" s="1"/>
      <c r="B16" s="15" t="s">
        <v>6</v>
      </c>
      <c r="C16" s="49">
        <f t="shared" ref="C16:D16" si="2">C63</f>
        <v>810</v>
      </c>
      <c r="D16" s="50">
        <f t="shared" si="2"/>
        <v>1010</v>
      </c>
      <c r="E16" s="1"/>
      <c r="F16" s="43"/>
      <c r="G16" s="51"/>
      <c r="H16" s="51"/>
      <c r="J16" s="51"/>
      <c r="K16" s="37"/>
      <c r="L16" s="1"/>
      <c r="M16" s="38"/>
      <c r="N16" s="1"/>
      <c r="O16" s="1"/>
      <c r="P16" s="39"/>
      <c r="Q16" s="1"/>
      <c r="R16" s="38"/>
      <c r="S16" s="1"/>
      <c r="T16" s="1"/>
      <c r="U16" s="1"/>
      <c r="V16" s="39"/>
      <c r="W16" s="1"/>
      <c r="X16" s="1"/>
      <c r="Y16" s="1"/>
      <c r="Z16" s="1"/>
      <c r="AA16" s="1"/>
      <c r="AB16" s="1"/>
      <c r="AC16" s="30"/>
      <c r="AD16" s="30"/>
      <c r="AE16" s="30"/>
      <c r="AF16" s="30"/>
      <c r="AG16" s="1"/>
    </row>
    <row r="17">
      <c r="A17" s="1"/>
      <c r="B17" s="15" t="s">
        <v>4</v>
      </c>
      <c r="C17" s="49">
        <f t="shared" ref="C17:D17" si="3">I63+N63</f>
        <v>7557</v>
      </c>
      <c r="D17" s="50">
        <f t="shared" si="3"/>
        <v>7426</v>
      </c>
      <c r="E17" s="1"/>
      <c r="F17" s="43"/>
      <c r="G17" s="36"/>
      <c r="H17" s="36"/>
      <c r="I17" s="36"/>
      <c r="J17" s="36"/>
      <c r="K17" s="37"/>
      <c r="L17" s="1"/>
      <c r="M17" s="38"/>
      <c r="N17" s="1"/>
      <c r="O17" s="1"/>
      <c r="P17" s="39"/>
      <c r="Q17" s="1"/>
      <c r="R17" s="38"/>
      <c r="S17" s="1"/>
      <c r="T17" s="1"/>
      <c r="U17" s="1"/>
      <c r="V17" s="39"/>
      <c r="W17" s="1"/>
      <c r="X17" s="1"/>
      <c r="Y17" s="1"/>
      <c r="Z17" s="1"/>
      <c r="AA17" s="1"/>
      <c r="AB17" s="1"/>
      <c r="AC17" s="30"/>
      <c r="AD17" s="30"/>
      <c r="AE17" s="30"/>
      <c r="AF17" s="30"/>
      <c r="AG17" s="1"/>
    </row>
    <row r="18">
      <c r="A18" s="1"/>
      <c r="B18" s="53" t="s">
        <v>22</v>
      </c>
      <c r="C18" s="54">
        <f t="shared" ref="C18:D18" si="4">U49</f>
        <v>760</v>
      </c>
      <c r="D18" s="55">
        <f t="shared" si="4"/>
        <v>750</v>
      </c>
      <c r="E18" s="1"/>
      <c r="F18" s="43"/>
      <c r="G18" s="36"/>
      <c r="H18" s="36"/>
      <c r="I18" s="36"/>
      <c r="J18" s="36"/>
      <c r="K18" s="37"/>
      <c r="L18" s="1"/>
      <c r="M18" s="38"/>
      <c r="N18" s="1"/>
      <c r="O18" s="1"/>
      <c r="P18" s="39"/>
      <c r="Q18" s="1"/>
      <c r="R18" s="38"/>
      <c r="S18" s="1"/>
      <c r="T18" s="1"/>
      <c r="U18" s="1"/>
      <c r="V18" s="39"/>
      <c r="W18" s="1"/>
      <c r="X18" s="1"/>
      <c r="Y18" s="1"/>
      <c r="Z18" s="1"/>
      <c r="AA18" s="1"/>
      <c r="AB18" s="1"/>
      <c r="AC18" s="30"/>
      <c r="AD18" s="14"/>
      <c r="AE18" s="14"/>
      <c r="AF18" s="14"/>
      <c r="AG18" s="1"/>
    </row>
    <row r="19">
      <c r="A19" s="1"/>
      <c r="B19" s="56" t="s">
        <v>23</v>
      </c>
      <c r="C19" s="57">
        <f>C14+C15-C16-C17-C18</f>
        <v>720</v>
      </c>
      <c r="D19" s="58">
        <f>D14+D15-D17-D18-D16</f>
        <v>814</v>
      </c>
      <c r="E19" s="1"/>
      <c r="F19" s="59"/>
      <c r="G19" s="60"/>
      <c r="H19" s="60"/>
      <c r="I19" s="60"/>
      <c r="J19" s="60"/>
      <c r="K19" s="61"/>
      <c r="L19" s="1"/>
      <c r="M19" s="62"/>
      <c r="N19" s="63"/>
      <c r="O19" s="63"/>
      <c r="P19" s="64"/>
      <c r="Q19" s="1"/>
      <c r="R19" s="62"/>
      <c r="S19" s="63"/>
      <c r="T19" s="63"/>
      <c r="U19" s="63"/>
      <c r="V19" s="64"/>
      <c r="W19" s="1"/>
      <c r="X19" s="1"/>
      <c r="Y19" s="1"/>
      <c r="Z19" s="1"/>
      <c r="AA19" s="1"/>
      <c r="AB19" s="1"/>
      <c r="AC19" s="30"/>
      <c r="AD19" s="14"/>
      <c r="AE19" s="14"/>
      <c r="AF19" s="14"/>
      <c r="AG19" s="1"/>
    </row>
    <row r="20">
      <c r="A20" s="1"/>
      <c r="B20" s="65" t="s">
        <v>12</v>
      </c>
      <c r="C20" s="66">
        <f>C19/D19</f>
        <v>0.8845208845</v>
      </c>
      <c r="D20" s="66">
        <f>100%-C20</f>
        <v>0.1154791155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30"/>
      <c r="AD20" s="14"/>
      <c r="AE20" s="14"/>
      <c r="AF20" s="14"/>
      <c r="AG20" s="1"/>
    </row>
    <row r="21">
      <c r="A21" s="1"/>
      <c r="B21" s="67" t="s">
        <v>24</v>
      </c>
      <c r="C21" s="4"/>
      <c r="D21" s="5"/>
      <c r="E21" s="1"/>
      <c r="F21" s="68" t="s">
        <v>25</v>
      </c>
      <c r="G21" s="4"/>
      <c r="H21" s="4"/>
      <c r="I21" s="4"/>
      <c r="J21" s="4"/>
      <c r="K21" s="69"/>
      <c r="L21" s="1"/>
      <c r="M21" s="70" t="s">
        <v>26</v>
      </c>
      <c r="N21" s="4"/>
      <c r="O21" s="4"/>
      <c r="P21" s="5"/>
      <c r="Q21" s="1"/>
      <c r="R21" s="71" t="s">
        <v>22</v>
      </c>
      <c r="S21" s="4"/>
      <c r="T21" s="4"/>
      <c r="U21" s="4"/>
      <c r="V21" s="5"/>
      <c r="W21" s="1"/>
      <c r="X21" s="1"/>
      <c r="Y21" s="1"/>
      <c r="Z21" s="1"/>
      <c r="AA21" s="1"/>
      <c r="AB21" s="1"/>
      <c r="AC21" s="1"/>
      <c r="AD21" s="14"/>
      <c r="AE21" s="14"/>
      <c r="AF21" s="14"/>
      <c r="AG21" s="1"/>
    </row>
    <row r="22">
      <c r="A22" s="1"/>
      <c r="B22" s="12"/>
      <c r="D22" s="13"/>
      <c r="E22" s="1"/>
      <c r="F22" s="25"/>
      <c r="G22" s="26"/>
      <c r="H22" s="26"/>
      <c r="I22" s="26"/>
      <c r="J22" s="26"/>
      <c r="K22" s="72"/>
      <c r="L22" s="1"/>
      <c r="M22" s="12"/>
      <c r="P22" s="13"/>
      <c r="Q22" s="1"/>
      <c r="R22" s="12"/>
      <c r="V22" s="13"/>
      <c r="W22" s="1"/>
      <c r="X22" s="1"/>
      <c r="Y22" s="1"/>
      <c r="Z22" s="1"/>
      <c r="AA22" s="1"/>
      <c r="AB22" s="1"/>
      <c r="AC22" s="1"/>
      <c r="AD22" s="14"/>
      <c r="AE22" s="14"/>
      <c r="AF22" s="14"/>
      <c r="AG22" s="1"/>
    </row>
    <row r="23">
      <c r="A23" s="1"/>
      <c r="B23" s="73"/>
      <c r="C23" s="74" t="s">
        <v>27</v>
      </c>
      <c r="D23" s="75" t="s">
        <v>16</v>
      </c>
      <c r="E23" s="1"/>
      <c r="F23" s="76"/>
      <c r="G23" s="77"/>
      <c r="H23" s="77" t="s">
        <v>28</v>
      </c>
      <c r="I23" s="77" t="s">
        <v>15</v>
      </c>
      <c r="J23" s="77" t="s">
        <v>16</v>
      </c>
      <c r="K23" s="78" t="s">
        <v>23</v>
      </c>
      <c r="L23" s="1"/>
      <c r="M23" s="79"/>
      <c r="N23" s="80" t="s">
        <v>15</v>
      </c>
      <c r="O23" s="80" t="s">
        <v>16</v>
      </c>
      <c r="P23" s="81" t="s">
        <v>23</v>
      </c>
      <c r="Q23" s="1"/>
      <c r="R23" s="82"/>
      <c r="S23" s="83"/>
      <c r="T23" s="83" t="s">
        <v>28</v>
      </c>
      <c r="U23" s="83" t="s">
        <v>15</v>
      </c>
      <c r="V23" s="84" t="s">
        <v>16</v>
      </c>
      <c r="W23" s="1"/>
      <c r="X23" s="1"/>
      <c r="Y23" s="1"/>
      <c r="Z23" s="1"/>
      <c r="AA23" s="1"/>
      <c r="AB23" s="1"/>
      <c r="AC23" s="1"/>
      <c r="AD23" s="14"/>
      <c r="AE23" s="14"/>
      <c r="AF23" s="14"/>
      <c r="AG23" s="1"/>
    </row>
    <row r="24">
      <c r="A24" s="1"/>
      <c r="B24" s="44" t="s">
        <v>29</v>
      </c>
      <c r="C24" s="85">
        <v>3500.0</v>
      </c>
      <c r="D24" s="86">
        <v>3500.0</v>
      </c>
      <c r="E24" s="1"/>
      <c r="F24" s="44" t="b">
        <v>1</v>
      </c>
      <c r="G24" s="87" t="s">
        <v>30</v>
      </c>
      <c r="H24" s="88">
        <v>19.0</v>
      </c>
      <c r="I24" s="85">
        <v>16.0</v>
      </c>
      <c r="J24" s="85">
        <v>16.0</v>
      </c>
      <c r="K24" s="89">
        <f t="shared" ref="K24:K36" si="5">if(I24="",J24,(if(J24="","",I24-J24)))</f>
        <v>0</v>
      </c>
      <c r="L24" s="1"/>
      <c r="M24" s="44" t="s">
        <v>31</v>
      </c>
      <c r="N24" s="85">
        <v>250.0</v>
      </c>
      <c r="O24" s="85">
        <v>200.0</v>
      </c>
      <c r="P24" s="46">
        <f t="shared" ref="P24:P62" si="6">if(N24="",O24,(if(O24="","",N24-O24)))</f>
        <v>50</v>
      </c>
      <c r="Q24" s="1"/>
      <c r="R24" s="44" t="b">
        <v>0</v>
      </c>
      <c r="S24" s="90" t="s">
        <v>32</v>
      </c>
      <c r="T24" s="88">
        <v>6.0</v>
      </c>
      <c r="U24" s="85">
        <v>150.0</v>
      </c>
      <c r="V24" s="86">
        <v>150.0</v>
      </c>
      <c r="W24" s="1"/>
      <c r="X24" s="1"/>
      <c r="Y24" s="1"/>
      <c r="Z24" s="1"/>
      <c r="AA24" s="1"/>
      <c r="AB24" s="1"/>
      <c r="AC24" s="1"/>
      <c r="AD24" s="14"/>
      <c r="AE24" s="14"/>
      <c r="AF24" s="14"/>
      <c r="AG24" s="1"/>
    </row>
    <row r="25">
      <c r="A25" s="1"/>
      <c r="B25" s="15" t="s">
        <v>33</v>
      </c>
      <c r="C25" s="91">
        <v>2500.0</v>
      </c>
      <c r="D25" s="92">
        <v>2500.0</v>
      </c>
      <c r="E25" s="1"/>
      <c r="F25" s="15" t="b">
        <v>1</v>
      </c>
      <c r="G25" s="93" t="s">
        <v>34</v>
      </c>
      <c r="H25" s="94">
        <v>29.0</v>
      </c>
      <c r="I25" s="91">
        <v>11.0</v>
      </c>
      <c r="J25" s="91">
        <v>11.0</v>
      </c>
      <c r="K25" s="89">
        <f t="shared" si="5"/>
        <v>0</v>
      </c>
      <c r="L25" s="1"/>
      <c r="M25" s="15" t="s">
        <v>35</v>
      </c>
      <c r="N25" s="91">
        <v>1000.0</v>
      </c>
      <c r="O25" s="91">
        <v>850.0</v>
      </c>
      <c r="P25" s="46">
        <f t="shared" si="6"/>
        <v>150</v>
      </c>
      <c r="Q25" s="1"/>
      <c r="R25" s="15" t="b">
        <v>0</v>
      </c>
      <c r="S25" s="21" t="s">
        <v>36</v>
      </c>
      <c r="T25" s="94">
        <v>16.0</v>
      </c>
      <c r="U25" s="91">
        <v>110.0</v>
      </c>
      <c r="V25" s="92">
        <v>100.0</v>
      </c>
      <c r="W25" s="1"/>
      <c r="X25" s="1"/>
      <c r="Z25" s="1"/>
      <c r="AA25" s="1"/>
      <c r="AB25" s="1"/>
      <c r="AC25" s="1"/>
      <c r="AD25" s="14"/>
      <c r="AE25" s="14"/>
      <c r="AF25" s="14"/>
      <c r="AG25" s="1"/>
    </row>
    <row r="26">
      <c r="A26" s="1"/>
      <c r="B26" s="15" t="s">
        <v>37</v>
      </c>
      <c r="C26" s="91">
        <v>150.0</v>
      </c>
      <c r="D26" s="92">
        <v>200.0</v>
      </c>
      <c r="E26" s="1"/>
      <c r="F26" s="15" t="b">
        <v>1</v>
      </c>
      <c r="G26" s="93" t="s">
        <v>38</v>
      </c>
      <c r="H26" s="94">
        <v>5.0</v>
      </c>
      <c r="I26" s="91">
        <v>1800.0</v>
      </c>
      <c r="J26" s="91">
        <v>1800.0</v>
      </c>
      <c r="K26" s="89">
        <f t="shared" si="5"/>
        <v>0</v>
      </c>
      <c r="L26" s="1"/>
      <c r="M26" s="15" t="s">
        <v>39</v>
      </c>
      <c r="N26" s="91">
        <v>300.0</v>
      </c>
      <c r="O26" s="91">
        <v>250.0</v>
      </c>
      <c r="P26" s="46">
        <f t="shared" si="6"/>
        <v>50</v>
      </c>
      <c r="Q26" s="1"/>
      <c r="R26" s="15" t="b">
        <v>0</v>
      </c>
      <c r="S26" s="21" t="s">
        <v>40</v>
      </c>
      <c r="T26" s="94">
        <v>9.0</v>
      </c>
      <c r="U26" s="91">
        <v>250.0</v>
      </c>
      <c r="V26" s="92">
        <v>250.0</v>
      </c>
      <c r="W26" s="1"/>
      <c r="X26" s="1"/>
      <c r="Z26" s="1"/>
      <c r="AA26" s="1"/>
      <c r="AB26" s="1"/>
      <c r="AC26" s="1"/>
      <c r="AD26" s="14"/>
      <c r="AE26" s="14"/>
      <c r="AF26" s="14"/>
      <c r="AG26" s="1"/>
    </row>
    <row r="27">
      <c r="A27" s="1"/>
      <c r="B27" s="15" t="s">
        <v>41</v>
      </c>
      <c r="C27" s="91">
        <v>50.0</v>
      </c>
      <c r="D27" s="92">
        <v>100.0</v>
      </c>
      <c r="E27" s="1"/>
      <c r="F27" s="15" t="b">
        <v>0</v>
      </c>
      <c r="G27" s="93" t="s">
        <v>42</v>
      </c>
      <c r="H27" s="94">
        <v>7.0</v>
      </c>
      <c r="I27" s="91">
        <v>60.0</v>
      </c>
      <c r="J27" s="95">
        <v>80.0</v>
      </c>
      <c r="K27" s="89">
        <f t="shared" si="5"/>
        <v>-20</v>
      </c>
      <c r="L27" s="1"/>
      <c r="M27" s="15" t="s">
        <v>43</v>
      </c>
      <c r="N27" s="91">
        <v>45.0</v>
      </c>
      <c r="O27" s="91">
        <v>40.0</v>
      </c>
      <c r="P27" s="46">
        <f t="shared" si="6"/>
        <v>5</v>
      </c>
      <c r="Q27" s="1"/>
      <c r="R27" s="15" t="b">
        <v>0</v>
      </c>
      <c r="S27" s="21" t="s">
        <v>44</v>
      </c>
      <c r="T27" s="94">
        <v>8.0</v>
      </c>
      <c r="U27" s="91">
        <v>250.0</v>
      </c>
      <c r="V27" s="92">
        <v>250.0</v>
      </c>
      <c r="W27" s="1"/>
      <c r="X27" s="1"/>
      <c r="Z27" s="1"/>
      <c r="AA27" s="1"/>
      <c r="AB27" s="1"/>
      <c r="AC27" s="1"/>
      <c r="AD27" s="14"/>
      <c r="AE27" s="14"/>
      <c r="AF27" s="14"/>
      <c r="AG27" s="1"/>
    </row>
    <row r="28">
      <c r="A28" s="1"/>
      <c r="B28" s="53" t="s">
        <v>45</v>
      </c>
      <c r="C28" s="96">
        <v>200.0</v>
      </c>
      <c r="D28" s="97">
        <v>150.0</v>
      </c>
      <c r="E28" s="1"/>
      <c r="F28" s="15" t="b">
        <v>0</v>
      </c>
      <c r="G28" s="93" t="s">
        <v>46</v>
      </c>
      <c r="H28" s="94">
        <v>2.0</v>
      </c>
      <c r="I28" s="91">
        <v>160.0</v>
      </c>
      <c r="J28" s="91">
        <v>150.0</v>
      </c>
      <c r="K28" s="89">
        <f t="shared" si="5"/>
        <v>10</v>
      </c>
      <c r="L28" s="1"/>
      <c r="M28" s="15" t="s">
        <v>47</v>
      </c>
      <c r="N28" s="91">
        <v>200.0</v>
      </c>
      <c r="O28" s="91">
        <v>180.0</v>
      </c>
      <c r="P28" s="46">
        <f t="shared" si="6"/>
        <v>20</v>
      </c>
      <c r="Q28" s="1"/>
      <c r="R28" s="98" t="b">
        <v>0</v>
      </c>
      <c r="S28" s="90"/>
      <c r="T28" s="94"/>
      <c r="U28" s="99"/>
      <c r="V28" s="92"/>
      <c r="W28" s="1"/>
      <c r="X28" s="1"/>
      <c r="Z28" s="1"/>
      <c r="AA28" s="1"/>
      <c r="AB28" s="1"/>
      <c r="AC28" s="1"/>
      <c r="AD28" s="14"/>
      <c r="AE28" s="14"/>
      <c r="AF28" s="14"/>
      <c r="AG28" s="1"/>
    </row>
    <row r="29">
      <c r="A29" s="1"/>
      <c r="B29" s="100" t="s">
        <v>48</v>
      </c>
      <c r="C29" s="101">
        <f t="shared" ref="C29:D29" si="7">sum(C24:C28)</f>
        <v>6400</v>
      </c>
      <c r="D29" s="102">
        <f t="shared" si="7"/>
        <v>6450</v>
      </c>
      <c r="E29" s="1"/>
      <c r="F29" s="15" t="b">
        <v>0</v>
      </c>
      <c r="G29" s="93" t="s">
        <v>49</v>
      </c>
      <c r="H29" s="94">
        <v>3.0</v>
      </c>
      <c r="I29" s="91">
        <v>75.0</v>
      </c>
      <c r="J29" s="91">
        <v>70.0</v>
      </c>
      <c r="K29" s="89">
        <f t="shared" si="5"/>
        <v>5</v>
      </c>
      <c r="L29" s="1"/>
      <c r="M29" s="15" t="s">
        <v>50</v>
      </c>
      <c r="N29" s="91">
        <v>250.0</v>
      </c>
      <c r="O29" s="91">
        <v>300.0</v>
      </c>
      <c r="P29" s="46">
        <f t="shared" si="6"/>
        <v>-50</v>
      </c>
      <c r="Q29" s="1"/>
      <c r="R29" s="98" t="b">
        <v>0</v>
      </c>
      <c r="S29" s="90"/>
      <c r="T29" s="103"/>
      <c r="U29" s="99"/>
      <c r="V29" s="104"/>
      <c r="W29" s="1"/>
      <c r="X29" s="1"/>
      <c r="Y29" s="1"/>
      <c r="Z29" s="1"/>
      <c r="AA29" s="105"/>
      <c r="AB29" s="1"/>
      <c r="AC29" s="1"/>
      <c r="AD29" s="14"/>
      <c r="AE29" s="14"/>
      <c r="AF29" s="14"/>
      <c r="AG29" s="1"/>
    </row>
    <row r="30">
      <c r="A30" s="1"/>
      <c r="B30" s="1"/>
      <c r="C30" s="1"/>
      <c r="D30" s="1"/>
      <c r="E30" s="1"/>
      <c r="F30" s="15" t="b">
        <v>0</v>
      </c>
      <c r="G30" s="93" t="s">
        <v>51</v>
      </c>
      <c r="H30" s="94">
        <v>4.0</v>
      </c>
      <c r="I30" s="91">
        <v>90.0</v>
      </c>
      <c r="J30" s="91">
        <v>90.0</v>
      </c>
      <c r="K30" s="89">
        <f t="shared" si="5"/>
        <v>0</v>
      </c>
      <c r="L30" s="1"/>
      <c r="M30" s="15" t="s">
        <v>52</v>
      </c>
      <c r="N30" s="91">
        <v>30.0</v>
      </c>
      <c r="O30" s="91">
        <v>50.0</v>
      </c>
      <c r="P30" s="46">
        <f t="shared" si="6"/>
        <v>-20</v>
      </c>
      <c r="Q30" s="1"/>
      <c r="R30" s="98" t="b">
        <v>0</v>
      </c>
      <c r="S30" s="90"/>
      <c r="T30" s="103"/>
      <c r="U30" s="99"/>
      <c r="V30" s="104"/>
      <c r="W30" s="1"/>
      <c r="X30" s="1"/>
      <c r="Y30" s="1"/>
      <c r="Z30" s="1"/>
      <c r="AA30" s="1"/>
      <c r="AB30" s="1"/>
      <c r="AC30" s="1"/>
      <c r="AD30" s="14"/>
      <c r="AE30" s="14"/>
      <c r="AF30" s="14"/>
      <c r="AG30" s="1"/>
    </row>
    <row r="31">
      <c r="A31" s="1"/>
      <c r="B31" s="106" t="s">
        <v>53</v>
      </c>
      <c r="C31" s="4"/>
      <c r="D31" s="5"/>
      <c r="E31" s="1"/>
      <c r="F31" s="15" t="b">
        <v>0</v>
      </c>
      <c r="G31" s="93" t="s">
        <v>54</v>
      </c>
      <c r="H31" s="94">
        <v>9.0</v>
      </c>
      <c r="I31" s="91">
        <v>40.0</v>
      </c>
      <c r="J31" s="91">
        <v>40.0</v>
      </c>
      <c r="K31" s="89">
        <f t="shared" si="5"/>
        <v>0</v>
      </c>
      <c r="L31" s="1"/>
      <c r="M31" s="15" t="s">
        <v>55</v>
      </c>
      <c r="N31" s="91">
        <v>100.0</v>
      </c>
      <c r="O31" s="91">
        <v>150.0</v>
      </c>
      <c r="P31" s="46">
        <f t="shared" si="6"/>
        <v>-50</v>
      </c>
      <c r="Q31" s="1"/>
      <c r="R31" s="98" t="b">
        <v>0</v>
      </c>
      <c r="S31" s="90"/>
      <c r="T31" s="103"/>
      <c r="U31" s="99"/>
      <c r="V31" s="104"/>
      <c r="W31" s="1"/>
      <c r="X31" s="1"/>
      <c r="Y31" s="1"/>
      <c r="Z31" s="1"/>
      <c r="AA31" s="1"/>
      <c r="AB31" s="1"/>
      <c r="AC31" s="1"/>
      <c r="AD31" s="14"/>
      <c r="AE31" s="14"/>
      <c r="AF31" s="14"/>
      <c r="AG31" s="1"/>
    </row>
    <row r="32">
      <c r="A32" s="1"/>
      <c r="B32" s="12"/>
      <c r="D32" s="13"/>
      <c r="E32" s="1"/>
      <c r="F32" s="15" t="b">
        <v>0</v>
      </c>
      <c r="G32" s="93" t="s">
        <v>56</v>
      </c>
      <c r="H32" s="94">
        <v>11.0</v>
      </c>
      <c r="I32" s="91">
        <v>14.0</v>
      </c>
      <c r="J32" s="91">
        <v>14.0</v>
      </c>
      <c r="K32" s="89">
        <f t="shared" si="5"/>
        <v>0</v>
      </c>
      <c r="L32" s="1"/>
      <c r="M32" s="15" t="s">
        <v>41</v>
      </c>
      <c r="N32" s="107">
        <v>20.0</v>
      </c>
      <c r="O32" s="91">
        <v>50.0</v>
      </c>
      <c r="P32" s="46">
        <f t="shared" si="6"/>
        <v>-30</v>
      </c>
      <c r="Q32" s="1"/>
      <c r="R32" s="98" t="b">
        <v>0</v>
      </c>
      <c r="S32" s="90"/>
      <c r="T32" s="103"/>
      <c r="U32" s="99"/>
      <c r="V32" s="104"/>
      <c r="W32" s="1"/>
      <c r="X32" s="1"/>
      <c r="Y32" s="1"/>
      <c r="Z32" s="1"/>
      <c r="AA32" s="1"/>
      <c r="AB32" s="1"/>
      <c r="AC32" s="1"/>
      <c r="AD32" s="14"/>
      <c r="AE32" s="14"/>
      <c r="AF32" s="14"/>
      <c r="AG32" s="1"/>
    </row>
    <row r="33">
      <c r="A33" s="1"/>
      <c r="B33" s="108"/>
      <c r="C33" s="109" t="s">
        <v>27</v>
      </c>
      <c r="D33" s="110" t="s">
        <v>16</v>
      </c>
      <c r="E33" s="1"/>
      <c r="F33" s="15" t="b">
        <v>0</v>
      </c>
      <c r="G33" s="93" t="s">
        <v>57</v>
      </c>
      <c r="H33" s="94">
        <v>7.0</v>
      </c>
      <c r="I33" s="91">
        <v>450.0</v>
      </c>
      <c r="J33" s="91">
        <v>450.0</v>
      </c>
      <c r="K33" s="89">
        <f t="shared" si="5"/>
        <v>0</v>
      </c>
      <c r="L33" s="1"/>
      <c r="M33" s="15" t="s">
        <v>58</v>
      </c>
      <c r="N33" s="91">
        <v>200.0</v>
      </c>
      <c r="O33" s="91">
        <v>200.0</v>
      </c>
      <c r="P33" s="46">
        <f t="shared" si="6"/>
        <v>0</v>
      </c>
      <c r="Q33" s="1"/>
      <c r="R33" s="98" t="b">
        <v>0</v>
      </c>
      <c r="S33" s="90"/>
      <c r="T33" s="103"/>
      <c r="U33" s="99"/>
      <c r="V33" s="104"/>
      <c r="W33" s="1"/>
      <c r="X33" s="1"/>
      <c r="Y33" s="1"/>
      <c r="Z33" s="1"/>
      <c r="AA33" s="1"/>
      <c r="AB33" s="1"/>
      <c r="AC33" s="1"/>
      <c r="AD33" s="14"/>
      <c r="AE33" s="14"/>
      <c r="AF33" s="14"/>
      <c r="AG33" s="1"/>
    </row>
    <row r="34">
      <c r="A34" s="1"/>
      <c r="B34" s="15" t="s">
        <v>59</v>
      </c>
      <c r="C34" s="91">
        <v>50.0</v>
      </c>
      <c r="D34" s="92">
        <v>50.0</v>
      </c>
      <c r="E34" s="1"/>
      <c r="F34" s="15" t="b">
        <v>0</v>
      </c>
      <c r="G34" s="111" t="s">
        <v>60</v>
      </c>
      <c r="H34" s="94">
        <v>25.0</v>
      </c>
      <c r="I34" s="91">
        <v>26.0</v>
      </c>
      <c r="J34" s="91">
        <v>25.0</v>
      </c>
      <c r="K34" s="89">
        <f t="shared" si="5"/>
        <v>1</v>
      </c>
      <c r="L34" s="1"/>
      <c r="M34" s="15" t="s">
        <v>61</v>
      </c>
      <c r="N34" s="91">
        <v>2200.0</v>
      </c>
      <c r="O34" s="91">
        <v>2200.0</v>
      </c>
      <c r="P34" s="46">
        <f t="shared" si="6"/>
        <v>0</v>
      </c>
      <c r="Q34" s="1"/>
      <c r="R34" s="98" t="b">
        <v>0</v>
      </c>
      <c r="S34" s="90"/>
      <c r="T34" s="103"/>
      <c r="U34" s="99"/>
      <c r="V34" s="104"/>
      <c r="W34" s="1"/>
      <c r="X34" s="1"/>
      <c r="Y34" s="1"/>
      <c r="Z34" s="1"/>
      <c r="AA34" s="1"/>
      <c r="AB34" s="1"/>
      <c r="AC34" s="1"/>
      <c r="AD34" s="14"/>
      <c r="AE34" s="14"/>
      <c r="AF34" s="14"/>
      <c r="AG34" s="1"/>
    </row>
    <row r="35">
      <c r="A35" s="1"/>
      <c r="B35" s="15" t="s">
        <v>62</v>
      </c>
      <c r="C35" s="91">
        <v>25.0</v>
      </c>
      <c r="D35" s="92">
        <v>25.0</v>
      </c>
      <c r="E35" s="1"/>
      <c r="F35" s="15" t="b">
        <v>0</v>
      </c>
      <c r="G35" s="93"/>
      <c r="H35" s="94"/>
      <c r="I35" s="91"/>
      <c r="J35" s="91"/>
      <c r="K35" s="89" t="str">
        <f t="shared" si="5"/>
        <v/>
      </c>
      <c r="L35" s="1"/>
      <c r="M35" s="15" t="s">
        <v>63</v>
      </c>
      <c r="N35" s="91">
        <v>150.0</v>
      </c>
      <c r="O35" s="91">
        <v>150.0</v>
      </c>
      <c r="P35" s="46">
        <f t="shared" si="6"/>
        <v>0</v>
      </c>
      <c r="Q35" s="1"/>
      <c r="R35" s="98" t="b">
        <v>0</v>
      </c>
      <c r="S35" s="90"/>
      <c r="T35" s="103"/>
      <c r="U35" s="99"/>
      <c r="V35" s="104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>
      <c r="A36" s="1"/>
      <c r="B36" s="15" t="s">
        <v>64</v>
      </c>
      <c r="C36" s="91">
        <v>1200.0</v>
      </c>
      <c r="D36" s="92">
        <v>1200.0</v>
      </c>
      <c r="E36" s="1"/>
      <c r="F36" s="15" t="b">
        <v>0</v>
      </c>
      <c r="G36" s="93"/>
      <c r="H36" s="94"/>
      <c r="I36" s="91"/>
      <c r="J36" s="91"/>
      <c r="K36" s="89" t="str">
        <f t="shared" si="5"/>
        <v/>
      </c>
      <c r="L36" s="1"/>
      <c r="M36" s="15" t="s">
        <v>65</v>
      </c>
      <c r="N36" s="91">
        <v>70.0</v>
      </c>
      <c r="O36" s="91">
        <v>60.0</v>
      </c>
      <c r="P36" s="46">
        <f t="shared" si="6"/>
        <v>10</v>
      </c>
      <c r="Q36" s="1"/>
      <c r="R36" s="98" t="b">
        <v>0</v>
      </c>
      <c r="S36" s="90"/>
      <c r="T36" s="103"/>
      <c r="U36" s="99"/>
      <c r="V36" s="104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>
      <c r="A37" s="1"/>
      <c r="B37" s="15" t="s">
        <v>66</v>
      </c>
      <c r="C37" s="91">
        <v>22.0</v>
      </c>
      <c r="D37" s="92">
        <v>25.0</v>
      </c>
      <c r="E37" s="1"/>
      <c r="F37" s="98" t="b">
        <v>0</v>
      </c>
      <c r="G37" s="112"/>
      <c r="H37" s="103"/>
      <c r="I37" s="91"/>
      <c r="J37" s="91"/>
      <c r="K37" s="89"/>
      <c r="L37" s="1"/>
      <c r="M37" s="98"/>
      <c r="N37" s="99"/>
      <c r="O37" s="99"/>
      <c r="P37" s="46" t="str">
        <f t="shared" si="6"/>
        <v/>
      </c>
      <c r="Q37" s="1"/>
      <c r="R37" s="98" t="b">
        <v>0</v>
      </c>
      <c r="S37" s="90"/>
      <c r="T37" s="103"/>
      <c r="U37" s="99"/>
      <c r="V37" s="104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>
      <c r="A38" s="1"/>
      <c r="B38" s="15" t="s">
        <v>67</v>
      </c>
      <c r="C38" s="91">
        <v>150.0</v>
      </c>
      <c r="D38" s="92">
        <v>250.0</v>
      </c>
      <c r="E38" s="1"/>
      <c r="F38" s="98" t="b">
        <v>0</v>
      </c>
      <c r="G38" s="112"/>
      <c r="H38" s="103"/>
      <c r="I38" s="99"/>
      <c r="J38" s="91"/>
      <c r="K38" s="89" t="str">
        <f t="shared" ref="K38:K62" si="8">if(I38="",J38,(if(J38="","",I38-J38)))</f>
        <v/>
      </c>
      <c r="L38" s="1"/>
      <c r="M38" s="98"/>
      <c r="N38" s="91"/>
      <c r="O38" s="91"/>
      <c r="P38" s="46" t="str">
        <f t="shared" si="6"/>
        <v/>
      </c>
      <c r="Q38" s="1"/>
      <c r="R38" s="98" t="b">
        <v>0</v>
      </c>
      <c r="S38" s="90"/>
      <c r="T38" s="103"/>
      <c r="U38" s="99"/>
      <c r="V38" s="104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>
      <c r="A39" s="1"/>
      <c r="B39" s="113" t="s">
        <v>48</v>
      </c>
      <c r="C39" s="114">
        <f>SUM(C34:C38)</f>
        <v>1447</v>
      </c>
      <c r="D39" s="115">
        <f>sum(D34:D38)</f>
        <v>1550</v>
      </c>
      <c r="E39" s="1"/>
      <c r="F39" s="98" t="b">
        <v>0</v>
      </c>
      <c r="G39" s="112"/>
      <c r="H39" s="103"/>
      <c r="I39" s="99"/>
      <c r="J39" s="91"/>
      <c r="K39" s="89" t="str">
        <f t="shared" si="8"/>
        <v/>
      </c>
      <c r="L39" s="1"/>
      <c r="M39" s="98"/>
      <c r="N39" s="91"/>
      <c r="O39" s="91"/>
      <c r="P39" s="46" t="str">
        <f t="shared" si="6"/>
        <v/>
      </c>
      <c r="Q39" s="1"/>
      <c r="R39" s="98" t="b">
        <v>0</v>
      </c>
      <c r="S39" s="90"/>
      <c r="T39" s="103"/>
      <c r="U39" s="99"/>
      <c r="V39" s="104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>
      <c r="A40" s="1"/>
      <c r="B40" s="116"/>
      <c r="C40" s="116"/>
      <c r="D40" s="116"/>
      <c r="E40" s="1"/>
      <c r="F40" s="98" t="b">
        <v>0</v>
      </c>
      <c r="G40" s="112"/>
      <c r="H40" s="103"/>
      <c r="I40" s="99"/>
      <c r="J40" s="91"/>
      <c r="K40" s="89" t="str">
        <f t="shared" si="8"/>
        <v/>
      </c>
      <c r="L40" s="1"/>
      <c r="M40" s="98"/>
      <c r="N40" s="99"/>
      <c r="O40" s="99"/>
      <c r="P40" s="46" t="str">
        <f t="shared" si="6"/>
        <v/>
      </c>
      <c r="Q40" s="1"/>
      <c r="R40" s="98" t="b">
        <v>0</v>
      </c>
      <c r="S40" s="90"/>
      <c r="T40" s="103"/>
      <c r="U40" s="99"/>
      <c r="V40" s="104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>
      <c r="A41" s="1"/>
      <c r="B41" s="117" t="s">
        <v>68</v>
      </c>
      <c r="C41" s="4"/>
      <c r="D41" s="5"/>
      <c r="E41" s="1"/>
      <c r="F41" s="98" t="b">
        <v>0</v>
      </c>
      <c r="G41" s="112"/>
      <c r="H41" s="103"/>
      <c r="I41" s="99"/>
      <c r="J41" s="91"/>
      <c r="K41" s="89" t="str">
        <f t="shared" si="8"/>
        <v/>
      </c>
      <c r="L41" s="1"/>
      <c r="M41" s="98"/>
      <c r="N41" s="99"/>
      <c r="O41" s="99"/>
      <c r="P41" s="46" t="str">
        <f t="shared" si="6"/>
        <v/>
      </c>
      <c r="Q41" s="1"/>
      <c r="R41" s="98" t="b">
        <v>0</v>
      </c>
      <c r="S41" s="90"/>
      <c r="T41" s="103"/>
      <c r="U41" s="99"/>
      <c r="V41" s="104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>
      <c r="A42" s="1"/>
      <c r="B42" s="12"/>
      <c r="D42" s="13"/>
      <c r="E42" s="1"/>
      <c r="F42" s="98" t="b">
        <v>0</v>
      </c>
      <c r="G42" s="112"/>
      <c r="H42" s="103"/>
      <c r="I42" s="99"/>
      <c r="J42" s="99"/>
      <c r="K42" s="89" t="str">
        <f t="shared" si="8"/>
        <v/>
      </c>
      <c r="L42" s="1"/>
      <c r="M42" s="98"/>
      <c r="N42" s="91"/>
      <c r="O42" s="91"/>
      <c r="P42" s="46" t="str">
        <f t="shared" si="6"/>
        <v/>
      </c>
      <c r="Q42" s="1"/>
      <c r="R42" s="98" t="b">
        <v>0</v>
      </c>
      <c r="S42" s="90"/>
      <c r="T42" s="103"/>
      <c r="U42" s="99"/>
      <c r="V42" s="104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>
      <c r="A43" s="1"/>
      <c r="B43" s="118"/>
      <c r="C43" s="119" t="s">
        <v>15</v>
      </c>
      <c r="D43" s="120" t="s">
        <v>16</v>
      </c>
      <c r="E43" s="1"/>
      <c r="F43" s="98" t="b">
        <v>0</v>
      </c>
      <c r="G43" s="112"/>
      <c r="H43" s="103"/>
      <c r="I43" s="99"/>
      <c r="J43" s="91"/>
      <c r="K43" s="89" t="str">
        <f t="shared" si="8"/>
        <v/>
      </c>
      <c r="L43" s="1"/>
      <c r="M43" s="98"/>
      <c r="N43" s="91"/>
      <c r="O43" s="91"/>
      <c r="P43" s="46" t="str">
        <f t="shared" si="6"/>
        <v/>
      </c>
      <c r="Q43" s="1"/>
      <c r="R43" s="98" t="b">
        <v>0</v>
      </c>
      <c r="S43" s="90"/>
      <c r="T43" s="103"/>
      <c r="U43" s="99"/>
      <c r="V43" s="104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>
      <c r="A44" s="1"/>
      <c r="B44" s="44" t="s">
        <v>57</v>
      </c>
      <c r="C44" s="85">
        <v>150.0</v>
      </c>
      <c r="D44" s="86">
        <v>200.0</v>
      </c>
      <c r="E44" s="1"/>
      <c r="F44" s="98" t="b">
        <v>0</v>
      </c>
      <c r="G44" s="112"/>
      <c r="H44" s="103"/>
      <c r="I44" s="99"/>
      <c r="J44" s="91"/>
      <c r="K44" s="89" t="str">
        <f t="shared" si="8"/>
        <v/>
      </c>
      <c r="L44" s="1"/>
      <c r="M44" s="98"/>
      <c r="N44" s="99"/>
      <c r="O44" s="91"/>
      <c r="P44" s="46" t="str">
        <f t="shared" si="6"/>
        <v/>
      </c>
      <c r="Q44" s="1"/>
      <c r="R44" s="98" t="b">
        <v>0</v>
      </c>
      <c r="S44" s="90"/>
      <c r="T44" s="103"/>
      <c r="U44" s="99"/>
      <c r="V44" s="104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>
      <c r="A45" s="1"/>
      <c r="B45" s="15" t="s">
        <v>69</v>
      </c>
      <c r="C45" s="91">
        <v>100.0</v>
      </c>
      <c r="D45" s="92">
        <v>150.0</v>
      </c>
      <c r="E45" s="1"/>
      <c r="F45" s="98" t="b">
        <v>0</v>
      </c>
      <c r="G45" s="112"/>
      <c r="H45" s="103"/>
      <c r="I45" s="99"/>
      <c r="J45" s="99"/>
      <c r="K45" s="89" t="str">
        <f t="shared" si="8"/>
        <v/>
      </c>
      <c r="L45" s="1"/>
      <c r="M45" s="98"/>
      <c r="N45" s="99"/>
      <c r="O45" s="91"/>
      <c r="P45" s="46" t="str">
        <f t="shared" si="6"/>
        <v/>
      </c>
      <c r="Q45" s="1"/>
      <c r="R45" s="98" t="b">
        <v>0</v>
      </c>
      <c r="S45" s="90"/>
      <c r="T45" s="103"/>
      <c r="U45" s="99"/>
      <c r="V45" s="104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>
      <c r="A46" s="1"/>
      <c r="B46" s="15" t="s">
        <v>70</v>
      </c>
      <c r="C46" s="91">
        <v>200.0</v>
      </c>
      <c r="D46" s="92">
        <v>250.0</v>
      </c>
      <c r="E46" s="1"/>
      <c r="F46" s="98" t="b">
        <v>0</v>
      </c>
      <c r="G46" s="112"/>
      <c r="H46" s="103"/>
      <c r="I46" s="91"/>
      <c r="J46" s="91"/>
      <c r="K46" s="89" t="str">
        <f t="shared" si="8"/>
        <v/>
      </c>
      <c r="L46" s="1"/>
      <c r="M46" s="98"/>
      <c r="N46" s="99"/>
      <c r="O46" s="91"/>
      <c r="P46" s="46" t="str">
        <f t="shared" si="6"/>
        <v/>
      </c>
      <c r="Q46" s="1"/>
      <c r="R46" s="98" t="b">
        <v>0</v>
      </c>
      <c r="S46" s="90"/>
      <c r="T46" s="103"/>
      <c r="U46" s="99"/>
      <c r="V46" s="10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>
      <c r="A47" s="1"/>
      <c r="B47" s="15" t="s">
        <v>71</v>
      </c>
      <c r="C47" s="91">
        <v>250.0</v>
      </c>
      <c r="D47" s="92">
        <v>300.0</v>
      </c>
      <c r="E47" s="1"/>
      <c r="F47" s="15" t="b">
        <v>0</v>
      </c>
      <c r="G47" s="112"/>
      <c r="H47" s="103"/>
      <c r="I47" s="91"/>
      <c r="J47" s="91"/>
      <c r="K47" s="89" t="str">
        <f t="shared" si="8"/>
        <v/>
      </c>
      <c r="L47" s="1"/>
      <c r="M47" s="98"/>
      <c r="N47" s="99"/>
      <c r="O47" s="99"/>
      <c r="P47" s="46" t="str">
        <f t="shared" si="6"/>
        <v/>
      </c>
      <c r="Q47" s="1"/>
      <c r="R47" s="98" t="b">
        <v>0</v>
      </c>
      <c r="S47" s="90"/>
      <c r="T47" s="103"/>
      <c r="U47" s="99"/>
      <c r="V47" s="104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>
      <c r="A48" s="1"/>
      <c r="B48" s="15" t="s">
        <v>72</v>
      </c>
      <c r="C48" s="91">
        <v>110.0</v>
      </c>
      <c r="D48" s="92">
        <v>110.0</v>
      </c>
      <c r="E48" s="1"/>
      <c r="F48" s="15" t="b">
        <v>0</v>
      </c>
      <c r="G48" s="112"/>
      <c r="H48" s="103"/>
      <c r="I48" s="91"/>
      <c r="J48" s="91"/>
      <c r="K48" s="89" t="str">
        <f t="shared" si="8"/>
        <v/>
      </c>
      <c r="L48" s="1"/>
      <c r="M48" s="98"/>
      <c r="N48" s="99"/>
      <c r="O48" s="99"/>
      <c r="P48" s="46" t="str">
        <f t="shared" si="6"/>
        <v/>
      </c>
      <c r="Q48" s="1"/>
      <c r="R48" s="121" t="b">
        <v>0</v>
      </c>
      <c r="S48" s="122"/>
      <c r="T48" s="123"/>
      <c r="U48" s="124"/>
      <c r="V48" s="125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>
      <c r="A49" s="1"/>
      <c r="B49" s="15"/>
      <c r="C49" s="91"/>
      <c r="D49" s="92"/>
      <c r="E49" s="1"/>
      <c r="F49" s="15" t="b">
        <v>0</v>
      </c>
      <c r="G49" s="112"/>
      <c r="H49" s="103"/>
      <c r="I49" s="91"/>
      <c r="J49" s="91"/>
      <c r="K49" s="89" t="str">
        <f t="shared" si="8"/>
        <v/>
      </c>
      <c r="L49" s="1"/>
      <c r="M49" s="98"/>
      <c r="N49" s="99"/>
      <c r="O49" s="99"/>
      <c r="P49" s="46" t="str">
        <f t="shared" si="6"/>
        <v/>
      </c>
      <c r="Q49" s="1"/>
      <c r="R49" s="126"/>
      <c r="S49" s="127" t="s">
        <v>48</v>
      </c>
      <c r="T49" s="127"/>
      <c r="U49" s="128">
        <f>sum(U24:U48)</f>
        <v>760</v>
      </c>
      <c r="V49" s="129">
        <f>SUM(V24:V48)</f>
        <v>750</v>
      </c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>
      <c r="A50" s="1"/>
      <c r="B50" s="15"/>
      <c r="C50" s="91"/>
      <c r="D50" s="92"/>
      <c r="E50" s="1"/>
      <c r="F50" s="15" t="b">
        <v>0</v>
      </c>
      <c r="G50" s="112"/>
      <c r="H50" s="103"/>
      <c r="I50" s="91"/>
      <c r="J50" s="91"/>
      <c r="K50" s="89" t="str">
        <f t="shared" si="8"/>
        <v/>
      </c>
      <c r="M50" s="98"/>
      <c r="N50" s="99"/>
      <c r="O50" s="99"/>
      <c r="P50" s="46" t="str">
        <f t="shared" si="6"/>
        <v/>
      </c>
      <c r="R50" s="33"/>
      <c r="S50" s="33"/>
      <c r="T50" s="33"/>
      <c r="U50" s="33"/>
      <c r="V50" s="33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>
      <c r="A51" s="1"/>
      <c r="B51" s="15"/>
      <c r="C51" s="91"/>
      <c r="D51" s="92"/>
      <c r="E51" s="1"/>
      <c r="F51" s="15" t="b">
        <v>0</v>
      </c>
      <c r="G51" s="112"/>
      <c r="H51" s="103"/>
      <c r="I51" s="91"/>
      <c r="J51" s="91"/>
      <c r="K51" s="89" t="str">
        <f t="shared" si="8"/>
        <v/>
      </c>
      <c r="M51" s="98"/>
      <c r="N51" s="99"/>
      <c r="O51" s="99"/>
      <c r="P51" s="46" t="str">
        <f t="shared" si="6"/>
        <v/>
      </c>
      <c r="R51" s="130" t="s">
        <v>73</v>
      </c>
      <c r="S51" s="4"/>
      <c r="T51" s="4"/>
      <c r="U51" s="4"/>
      <c r="V51" s="5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>
      <c r="A52" s="1"/>
      <c r="B52" s="15"/>
      <c r="C52" s="91"/>
      <c r="D52" s="92"/>
      <c r="E52" s="1"/>
      <c r="F52" s="15" t="b">
        <v>0</v>
      </c>
      <c r="G52" s="112"/>
      <c r="H52" s="103"/>
      <c r="I52" s="91"/>
      <c r="J52" s="91"/>
      <c r="K52" s="89" t="str">
        <f t="shared" si="8"/>
        <v/>
      </c>
      <c r="M52" s="98"/>
      <c r="N52" s="99"/>
      <c r="O52" s="99"/>
      <c r="P52" s="46" t="str">
        <f t="shared" si="6"/>
        <v/>
      </c>
      <c r="R52" s="12"/>
      <c r="V52" s="13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>
      <c r="A53" s="1"/>
      <c r="B53" s="15"/>
      <c r="C53" s="91"/>
      <c r="D53" s="92"/>
      <c r="E53" s="1"/>
      <c r="F53" s="15" t="b">
        <v>0</v>
      </c>
      <c r="G53" s="112"/>
      <c r="H53" s="103"/>
      <c r="I53" s="91"/>
      <c r="J53" s="91"/>
      <c r="K53" s="89" t="str">
        <f t="shared" si="8"/>
        <v/>
      </c>
      <c r="M53" s="98"/>
      <c r="N53" s="99"/>
      <c r="O53" s="99"/>
      <c r="P53" s="46" t="str">
        <f t="shared" si="6"/>
        <v/>
      </c>
      <c r="R53" s="131" t="s">
        <v>74</v>
      </c>
      <c r="S53" s="10"/>
      <c r="T53" s="10"/>
      <c r="U53" s="10"/>
      <c r="V53" s="1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>
      <c r="A54" s="1"/>
      <c r="B54" s="15"/>
      <c r="C54" s="91"/>
      <c r="D54" s="92"/>
      <c r="E54" s="1"/>
      <c r="F54" s="15" t="b">
        <v>0</v>
      </c>
      <c r="G54" s="112"/>
      <c r="H54" s="103"/>
      <c r="I54" s="91"/>
      <c r="J54" s="91"/>
      <c r="K54" s="89" t="str">
        <f t="shared" si="8"/>
        <v/>
      </c>
      <c r="M54" s="98"/>
      <c r="N54" s="99"/>
      <c r="O54" s="99"/>
      <c r="P54" s="46" t="str">
        <f t="shared" si="6"/>
        <v/>
      </c>
      <c r="R54" s="132" t="s">
        <v>75</v>
      </c>
      <c r="S54" s="133"/>
      <c r="T54" s="133"/>
      <c r="U54" s="133"/>
      <c r="V54" s="17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>
      <c r="A55" s="1"/>
      <c r="B55" s="15"/>
      <c r="C55" s="91"/>
      <c r="D55" s="92"/>
      <c r="E55" s="1"/>
      <c r="F55" s="15" t="b">
        <v>0</v>
      </c>
      <c r="G55" s="112"/>
      <c r="H55" s="103"/>
      <c r="I55" s="91"/>
      <c r="J55" s="91"/>
      <c r="K55" s="89" t="str">
        <f t="shared" si="8"/>
        <v/>
      </c>
      <c r="M55" s="98"/>
      <c r="N55" s="99"/>
      <c r="O55" s="99"/>
      <c r="P55" s="46" t="str">
        <f t="shared" si="6"/>
        <v/>
      </c>
      <c r="R55" s="132" t="s">
        <v>76</v>
      </c>
      <c r="S55" s="133"/>
      <c r="T55" s="133"/>
      <c r="U55" s="133"/>
      <c r="V55" s="17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>
      <c r="A56" s="1"/>
      <c r="B56" s="15"/>
      <c r="C56" s="91"/>
      <c r="D56" s="92"/>
      <c r="E56" s="1"/>
      <c r="F56" s="15" t="b">
        <v>0</v>
      </c>
      <c r="G56" s="112"/>
      <c r="H56" s="103"/>
      <c r="I56" s="91"/>
      <c r="J56" s="91"/>
      <c r="K56" s="89" t="str">
        <f t="shared" si="8"/>
        <v/>
      </c>
      <c r="M56" s="98"/>
      <c r="N56" s="99"/>
      <c r="O56" s="99"/>
      <c r="P56" s="46" t="str">
        <f t="shared" si="6"/>
        <v/>
      </c>
      <c r="R56" s="134"/>
      <c r="S56" s="133"/>
      <c r="T56" s="133"/>
      <c r="U56" s="133"/>
      <c r="V56" s="17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>
      <c r="A57" s="1"/>
      <c r="B57" s="15"/>
      <c r="C57" s="91"/>
      <c r="D57" s="92"/>
      <c r="E57" s="1"/>
      <c r="F57" s="15" t="b">
        <v>0</v>
      </c>
      <c r="G57" s="112"/>
      <c r="H57" s="103"/>
      <c r="I57" s="91"/>
      <c r="J57" s="91"/>
      <c r="K57" s="89" t="str">
        <f t="shared" si="8"/>
        <v/>
      </c>
      <c r="M57" s="98"/>
      <c r="N57" s="99"/>
      <c r="O57" s="99"/>
      <c r="P57" s="46" t="str">
        <f t="shared" si="6"/>
        <v/>
      </c>
      <c r="R57" s="134"/>
      <c r="S57" s="133"/>
      <c r="T57" s="133"/>
      <c r="U57" s="133"/>
      <c r="V57" s="17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>
      <c r="A58" s="1"/>
      <c r="B58" s="15"/>
      <c r="C58" s="91"/>
      <c r="D58" s="92"/>
      <c r="E58" s="1"/>
      <c r="F58" s="15" t="b">
        <v>0</v>
      </c>
      <c r="G58" s="112"/>
      <c r="H58" s="103"/>
      <c r="I58" s="91"/>
      <c r="J58" s="91"/>
      <c r="K58" s="89" t="str">
        <f t="shared" si="8"/>
        <v/>
      </c>
      <c r="M58" s="98"/>
      <c r="N58" s="99"/>
      <c r="O58" s="99"/>
      <c r="P58" s="46" t="str">
        <f t="shared" si="6"/>
        <v/>
      </c>
      <c r="R58" s="134"/>
      <c r="S58" s="133"/>
      <c r="T58" s="133"/>
      <c r="U58" s="133"/>
      <c r="V58" s="17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>
      <c r="A59" s="1"/>
      <c r="B59" s="15"/>
      <c r="C59" s="91"/>
      <c r="D59" s="92"/>
      <c r="E59" s="1"/>
      <c r="F59" s="15" t="b">
        <v>0</v>
      </c>
      <c r="G59" s="112"/>
      <c r="H59" s="103"/>
      <c r="I59" s="91"/>
      <c r="J59" s="91"/>
      <c r="K59" s="89" t="str">
        <f t="shared" si="8"/>
        <v/>
      </c>
      <c r="M59" s="98"/>
      <c r="N59" s="99"/>
      <c r="O59" s="99"/>
      <c r="P59" s="46" t="str">
        <f t="shared" si="6"/>
        <v/>
      </c>
      <c r="R59" s="134"/>
      <c r="S59" s="133"/>
      <c r="T59" s="133"/>
      <c r="U59" s="133"/>
      <c r="V59" s="17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>
      <c r="A60" s="1"/>
      <c r="B60" s="15"/>
      <c r="C60" s="91"/>
      <c r="D60" s="92"/>
      <c r="E60" s="1"/>
      <c r="F60" s="15" t="b">
        <v>0</v>
      </c>
      <c r="G60" s="112"/>
      <c r="H60" s="103"/>
      <c r="I60" s="91"/>
      <c r="J60" s="91"/>
      <c r="K60" s="89" t="str">
        <f t="shared" si="8"/>
        <v/>
      </c>
      <c r="M60" s="98"/>
      <c r="N60" s="99"/>
      <c r="O60" s="99"/>
      <c r="P60" s="46" t="str">
        <f t="shared" si="6"/>
        <v/>
      </c>
      <c r="R60" s="134"/>
      <c r="S60" s="133"/>
      <c r="T60" s="133"/>
      <c r="U60" s="133"/>
      <c r="V60" s="17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>
      <c r="A61" s="1"/>
      <c r="B61" s="15"/>
      <c r="C61" s="91"/>
      <c r="D61" s="92"/>
      <c r="E61" s="1"/>
      <c r="F61" s="15" t="b">
        <v>0</v>
      </c>
      <c r="G61" s="112"/>
      <c r="H61" s="103"/>
      <c r="I61" s="91"/>
      <c r="J61" s="91"/>
      <c r="K61" s="89" t="str">
        <f t="shared" si="8"/>
        <v/>
      </c>
      <c r="M61" s="98"/>
      <c r="N61" s="99"/>
      <c r="O61" s="99"/>
      <c r="P61" s="46" t="str">
        <f t="shared" si="6"/>
        <v/>
      </c>
      <c r="R61" s="134"/>
      <c r="S61" s="133"/>
      <c r="T61" s="133"/>
      <c r="U61" s="133"/>
      <c r="V61" s="17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>
      <c r="A62" s="1"/>
      <c r="B62" s="15"/>
      <c r="C62" s="91"/>
      <c r="D62" s="92"/>
      <c r="E62" s="1"/>
      <c r="F62" s="15" t="b">
        <v>0</v>
      </c>
      <c r="G62" s="112"/>
      <c r="H62" s="103"/>
      <c r="I62" s="91"/>
      <c r="J62" s="91"/>
      <c r="K62" s="89" t="str">
        <f t="shared" si="8"/>
        <v/>
      </c>
      <c r="M62" s="98"/>
      <c r="N62" s="99"/>
      <c r="O62" s="99"/>
      <c r="P62" s="46" t="str">
        <f t="shared" si="6"/>
        <v/>
      </c>
      <c r="R62" s="134"/>
      <c r="S62" s="133"/>
      <c r="T62" s="133"/>
      <c r="U62" s="133"/>
      <c r="V62" s="17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>
      <c r="A63" s="1"/>
      <c r="B63" s="135" t="s">
        <v>48</v>
      </c>
      <c r="C63" s="136">
        <f>SUM(C44:C48)</f>
        <v>810</v>
      </c>
      <c r="D63" s="137">
        <f>SUM(D44:D62)</f>
        <v>1010</v>
      </c>
      <c r="E63" s="1"/>
      <c r="F63" s="138"/>
      <c r="G63" s="139" t="s">
        <v>48</v>
      </c>
      <c r="H63" s="140"/>
      <c r="I63" s="141">
        <f t="shared" ref="I63:J63" si="9">SUM(I23:I48)</f>
        <v>2742</v>
      </c>
      <c r="J63" s="141">
        <f t="shared" si="9"/>
        <v>2746</v>
      </c>
      <c r="K63" s="142">
        <f>sum(K24:K62)</f>
        <v>-4</v>
      </c>
      <c r="L63" s="1"/>
      <c r="M63" s="143" t="s">
        <v>48</v>
      </c>
      <c r="N63" s="144">
        <f t="shared" ref="N63:P63" si="10">SUM(N24:N62)</f>
        <v>4815</v>
      </c>
      <c r="O63" s="144">
        <f t="shared" si="10"/>
        <v>4680</v>
      </c>
      <c r="P63" s="145">
        <f t="shared" si="10"/>
        <v>135</v>
      </c>
      <c r="Q63" s="1"/>
      <c r="R63" s="146"/>
      <c r="S63" s="147"/>
      <c r="T63" s="147"/>
      <c r="U63" s="147"/>
      <c r="V63" s="24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>
      <c r="A64" s="1"/>
      <c r="B64" s="1"/>
      <c r="C64" s="1"/>
      <c r="D64" s="1"/>
      <c r="E64" s="1"/>
      <c r="F64" s="1"/>
      <c r="G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>
      <c r="A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>
      <c r="A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>
      <c r="A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>
      <c r="A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>
      <c r="A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>
      <c r="A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>
      <c r="A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>
      <c r="A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>
      <c r="A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>
      <c r="A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>
      <c r="A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>
      <c r="A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>
      <c r="A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>
      <c r="A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>
      <c r="A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>
      <c r="A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>
      <c r="A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</row>
    <row r="82">
      <c r="A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>
      <c r="A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>
      <c r="A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>
      <c r="A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>
      <c r="A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>
      <c r="A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</row>
    <row r="88">
      <c r="A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</row>
    <row r="89">
      <c r="A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0">
      <c r="A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</row>
    <row r="91">
      <c r="A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>
      <c r="A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>
      <c r="A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</row>
    <row r="94">
      <c r="A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</row>
    <row r="95">
      <c r="A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</row>
    <row r="96">
      <c r="A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>
      <c r="A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>
      <c r="A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</row>
    <row r="99">
      <c r="A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</row>
    <row r="100">
      <c r="A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</row>
    <row r="101">
      <c r="A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</row>
    <row r="102">
      <c r="A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>
      <c r="A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>
      <c r="A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>
      <c r="A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>
      <c r="A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>
      <c r="A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>
      <c r="A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>
      <c r="A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>
      <c r="A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>
      <c r="A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>
      <c r="A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>
      <c r="A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>
      <c r="A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>
      <c r="A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>
      <c r="A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>
      <c r="A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>
      <c r="A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>
      <c r="A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>
      <c r="A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</row>
  </sheetData>
  <mergeCells count="35">
    <mergeCell ref="B4:D5"/>
    <mergeCell ref="J4:M6"/>
    <mergeCell ref="N4:P6"/>
    <mergeCell ref="Q4:T6"/>
    <mergeCell ref="U4:V6"/>
    <mergeCell ref="C6:D6"/>
    <mergeCell ref="C7:D7"/>
    <mergeCell ref="F4:I6"/>
    <mergeCell ref="F7:I9"/>
    <mergeCell ref="J7:M9"/>
    <mergeCell ref="N7:P9"/>
    <mergeCell ref="Q7:T9"/>
    <mergeCell ref="U7:V9"/>
    <mergeCell ref="C8:D8"/>
    <mergeCell ref="C9:D9"/>
    <mergeCell ref="B11:D12"/>
    <mergeCell ref="I15:I16"/>
    <mergeCell ref="B21:D22"/>
    <mergeCell ref="F21:J22"/>
    <mergeCell ref="M21:P22"/>
    <mergeCell ref="R21:V22"/>
    <mergeCell ref="R57:V57"/>
    <mergeCell ref="R58:V58"/>
    <mergeCell ref="R59:V59"/>
    <mergeCell ref="R60:V60"/>
    <mergeCell ref="R61:V61"/>
    <mergeCell ref="R62:V62"/>
    <mergeCell ref="R63:V63"/>
    <mergeCell ref="B31:D32"/>
    <mergeCell ref="B41:D42"/>
    <mergeCell ref="R51:V52"/>
    <mergeCell ref="R53:V53"/>
    <mergeCell ref="R54:V54"/>
    <mergeCell ref="R55:V55"/>
    <mergeCell ref="R56:V56"/>
  </mergeCells>
  <conditionalFormatting sqref="K24:K62">
    <cfRule type="cellIs" dxfId="0" priority="1" operator="greaterThan">
      <formula>0</formula>
    </cfRule>
  </conditionalFormatting>
  <conditionalFormatting sqref="K24:K62">
    <cfRule type="cellIs" dxfId="1" priority="2" operator="lessThan">
      <formula>0</formula>
    </cfRule>
  </conditionalFormatting>
  <conditionalFormatting sqref="P24:P62">
    <cfRule type="cellIs" dxfId="0" priority="3" operator="greaterThan">
      <formula>0</formula>
    </cfRule>
  </conditionalFormatting>
  <conditionalFormatting sqref="P24:P62">
    <cfRule type="cellIs" dxfId="1" priority="4" operator="lessThan">
      <formula>0</formula>
    </cfRule>
  </conditionalFormatting>
  <conditionalFormatting sqref="P24:P62">
    <cfRule type="cellIs" dxfId="2" priority="5" operator="equal">
      <formula>0</formula>
    </cfRule>
  </conditionalFormatting>
  <conditionalFormatting sqref="K24:K62">
    <cfRule type="cellIs" dxfId="2" priority="6" operator="equal">
      <formula>0</formula>
    </cfRule>
  </conditionalFormatting>
  <conditionalFormatting sqref="K63">
    <cfRule type="cellIs" dxfId="3" priority="7" operator="greaterThan">
      <formula>0</formula>
    </cfRule>
  </conditionalFormatting>
  <conditionalFormatting sqref="K63">
    <cfRule type="cellIs" dxfId="4" priority="8" operator="lessThan">
      <formula>0</formula>
    </cfRule>
  </conditionalFormatting>
  <conditionalFormatting sqref="P63">
    <cfRule type="cellIs" dxfId="3" priority="9" operator="greaterThan">
      <formula>0</formula>
    </cfRule>
  </conditionalFormatting>
  <conditionalFormatting sqref="K63">
    <cfRule type="cellIs" dxfId="5" priority="10" operator="equal">
      <formula>0</formula>
    </cfRule>
  </conditionalFormatting>
  <dataValidations>
    <dataValidation type="list" allowBlank="1" showErrorMessage="1" sqref="T24:T27 T29:T48 H24:H62">
      <formula1>setting!$A$2:$A$32</formula1>
    </dataValidation>
    <dataValidation type="list" allowBlank="1" showErrorMessage="1" sqref="T28">
      <formula1>setting!$A$2:$A$33</formula1>
    </dataValidation>
    <dataValidation type="list" allowBlank="1" showErrorMessage="1" sqref="C8">
      <formula1>"$,£,€,¥,₽,₩,R$"</formula1>
    </dataValidation>
    <dataValidation type="custom" allowBlank="1" showDropDown="1" sqref="C7">
      <formula1>OR(NOT(ISERROR(DATEVALUE(C7))), AND(ISNUMBER(C7), LEFT(CELL("format", C7))="D"))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15.0"/>
    <col customWidth="1" min="5" max="5" width="1.38"/>
    <col customWidth="1" min="6" max="6" width="15.5"/>
    <col customWidth="1" min="7" max="7" width="14.38"/>
    <col customWidth="1" min="8" max="8" width="14.75"/>
    <col customWidth="1" min="10" max="10" width="1.25"/>
    <col customWidth="1" min="12" max="12" width="13.75"/>
    <col customWidth="1" min="13" max="13" width="15.13"/>
    <col customWidth="1" min="15" max="15" width="1.75"/>
    <col customWidth="1" min="17" max="17" width="12.38"/>
    <col customWidth="1" min="18" max="18" width="14.13"/>
    <col customWidth="1" min="19" max="19" width="1.25"/>
    <col customWidth="1" min="20" max="21" width="13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ht="40.5" customHeight="1">
      <c r="A2" s="1"/>
      <c r="B2" s="1"/>
      <c r="C2" s="2" t="s">
        <v>77</v>
      </c>
      <c r="D2" s="1"/>
      <c r="E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ht="5.25" customHeight="1">
      <c r="A3" s="1"/>
      <c r="B3" s="1"/>
      <c r="C3" s="1"/>
      <c r="D3" s="1"/>
      <c r="E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>
      <c r="A4" s="1"/>
      <c r="B4" s="3" t="s">
        <v>1</v>
      </c>
      <c r="C4" s="4"/>
      <c r="D4" s="5"/>
      <c r="E4" s="1"/>
      <c r="F4" s="148" t="s">
        <v>78</v>
      </c>
      <c r="G4" s="4"/>
      <c r="H4" s="4"/>
      <c r="I4" s="149" t="s">
        <v>79</v>
      </c>
      <c r="J4" s="4"/>
      <c r="K4" s="4"/>
      <c r="L4" s="4"/>
      <c r="M4" s="149" t="s">
        <v>80</v>
      </c>
      <c r="N4" s="4"/>
      <c r="O4" s="4"/>
      <c r="P4" s="4"/>
      <c r="Q4" s="149" t="s">
        <v>81</v>
      </c>
      <c r="R4" s="4"/>
      <c r="S4" s="4"/>
      <c r="T4" s="4"/>
      <c r="U4" s="149" t="s">
        <v>82</v>
      </c>
      <c r="V4" s="5"/>
      <c r="W4" s="1"/>
      <c r="X4" s="1"/>
      <c r="Y4" s="1"/>
      <c r="Z4" s="47"/>
      <c r="AA4" s="47"/>
      <c r="AB4" s="47"/>
      <c r="AC4" s="47"/>
      <c r="AD4" s="47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</row>
    <row r="5">
      <c r="A5" s="1"/>
      <c r="B5" s="9"/>
      <c r="C5" s="10"/>
      <c r="D5" s="11"/>
      <c r="E5" s="1"/>
      <c r="F5" s="12"/>
      <c r="V5" s="13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</row>
    <row r="6">
      <c r="A6" s="1"/>
      <c r="B6" s="15" t="s">
        <v>7</v>
      </c>
      <c r="C6" s="16">
        <v>45658.0</v>
      </c>
      <c r="D6" s="17"/>
      <c r="E6" s="1"/>
      <c r="F6" s="12"/>
      <c r="V6" s="13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</row>
    <row r="7">
      <c r="A7" s="1"/>
      <c r="B7" s="15" t="s">
        <v>8</v>
      </c>
      <c r="C7" s="16">
        <v>46022.0</v>
      </c>
      <c r="D7" s="17"/>
      <c r="E7" s="1"/>
      <c r="F7" s="18">
        <f>January!F7+Feburary!F7+March!F7+April!F7+May!F7+June!F7+July!F7+August!F7+September!F7+October!F7+November!F7+December!F7</f>
        <v>0</v>
      </c>
      <c r="I7" s="19">
        <f>December!J7</f>
        <v>0</v>
      </c>
      <c r="M7" s="20">
        <f>January!N7+Feburary!N7+March!N7+April!N7+May!N7+June!N7+July!N7+August!N7+September!N7+October!N7+November!N7+December!N7</f>
        <v>0</v>
      </c>
      <c r="Q7" s="19">
        <f>January!Q7+Feburary!Q7+March!Q7+April!Q7+May!Q7+June!Q7+July!Q7+August!Q7+September!Q7+October!Q7+November!Q7+December!Q7</f>
        <v>0</v>
      </c>
      <c r="U7" s="19">
        <f>January!U7+Feburary!U7+March!U7+April!U7+May!U7+June!U7+July!U7+August!U7+September!U7+October!U7+November!U7+December!U7</f>
        <v>0</v>
      </c>
      <c r="V7" s="13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</row>
    <row r="8">
      <c r="A8" s="1"/>
      <c r="B8" s="15" t="s">
        <v>9</v>
      </c>
      <c r="C8" s="21" t="s">
        <v>10</v>
      </c>
      <c r="D8" s="17"/>
      <c r="E8" s="1"/>
      <c r="F8" s="12"/>
      <c r="V8" s="13"/>
      <c r="W8" s="1"/>
      <c r="X8" s="1"/>
      <c r="Y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</row>
    <row r="9">
      <c r="A9" s="1"/>
      <c r="B9" s="22" t="s">
        <v>11</v>
      </c>
      <c r="C9" s="23"/>
      <c r="D9" s="24"/>
      <c r="E9" s="1"/>
      <c r="F9" s="25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7"/>
      <c r="W9" s="1"/>
      <c r="X9" s="1"/>
      <c r="Y9" s="1"/>
      <c r="AB9" s="150"/>
      <c r="AC9" s="150"/>
      <c r="AD9" s="150"/>
      <c r="AE9" s="150"/>
      <c r="AF9" s="150"/>
    </row>
    <row r="10">
      <c r="A10" s="1"/>
      <c r="B10" s="28" t="s">
        <v>12</v>
      </c>
      <c r="C10" s="29">
        <f>D16+D17+D18</f>
        <v>0</v>
      </c>
      <c r="D10" s="29">
        <f>D19</f>
        <v>0</v>
      </c>
      <c r="E10" s="1"/>
      <c r="W10" s="1"/>
      <c r="X10" s="1"/>
      <c r="Y10" s="1"/>
      <c r="Z10" s="151"/>
      <c r="AA10" s="36"/>
      <c r="AB10" s="152"/>
      <c r="AC10" s="152"/>
      <c r="AD10" s="152"/>
      <c r="AE10" s="152"/>
      <c r="AF10" s="30"/>
      <c r="AG10" s="1"/>
      <c r="AH10" s="1"/>
      <c r="AI10" s="1"/>
      <c r="AJ10" s="1"/>
      <c r="AK10" s="1"/>
      <c r="AL10" s="1"/>
      <c r="AM10" s="1"/>
      <c r="AN10" s="1"/>
      <c r="AO10" s="1"/>
      <c r="AP10" s="1"/>
    </row>
    <row r="11">
      <c r="A11" s="1"/>
      <c r="B11" s="31" t="s">
        <v>13</v>
      </c>
      <c r="C11" s="4"/>
      <c r="D11" s="5"/>
      <c r="E11" s="1"/>
      <c r="W11" s="1"/>
      <c r="X11" s="1"/>
      <c r="Y11" s="1"/>
      <c r="Z11" s="36"/>
      <c r="AA11" s="36"/>
      <c r="AB11" s="152"/>
      <c r="AC11" s="152"/>
      <c r="AD11" s="152"/>
      <c r="AE11" s="152"/>
      <c r="AF11" s="30"/>
      <c r="AG11" s="1"/>
      <c r="AH11" s="1"/>
      <c r="AI11" s="1"/>
      <c r="AJ11" s="1"/>
      <c r="AK11" s="1"/>
      <c r="AL11" s="1"/>
      <c r="AM11" s="1"/>
      <c r="AN11" s="1"/>
      <c r="AO11" s="1"/>
      <c r="AP11" s="1"/>
    </row>
    <row r="12">
      <c r="A12" s="1"/>
      <c r="B12" s="12"/>
      <c r="D12" s="13"/>
      <c r="E12" s="1"/>
      <c r="W12" s="1"/>
      <c r="X12" s="1"/>
      <c r="Y12" s="1"/>
      <c r="Z12" s="36"/>
      <c r="AA12" s="36"/>
      <c r="AB12" s="152"/>
      <c r="AC12" s="152"/>
      <c r="AD12" s="28" t="s">
        <v>14</v>
      </c>
      <c r="AE12" s="29">
        <f>R36</f>
        <v>0</v>
      </c>
      <c r="AF12" s="30"/>
      <c r="AG12" s="1"/>
      <c r="AH12" s="1"/>
      <c r="AI12" s="1"/>
      <c r="AJ12" s="1"/>
      <c r="AK12" s="1"/>
      <c r="AL12" s="1"/>
      <c r="AM12" s="1"/>
      <c r="AN12" s="1"/>
      <c r="AO12" s="1"/>
      <c r="AP12" s="1"/>
    </row>
    <row r="13">
      <c r="A13" s="1"/>
      <c r="B13" s="40"/>
      <c r="C13" s="41" t="s">
        <v>15</v>
      </c>
      <c r="D13" s="42" t="s">
        <v>16</v>
      </c>
      <c r="E13" s="1"/>
      <c r="W13" s="1"/>
      <c r="X13" s="1"/>
      <c r="Y13" s="1"/>
      <c r="Z13" s="36"/>
      <c r="AA13" s="51"/>
      <c r="AB13" s="153"/>
      <c r="AC13" s="154"/>
      <c r="AD13" s="28" t="s">
        <v>17</v>
      </c>
      <c r="AE13" s="29">
        <f>H36</f>
        <v>0</v>
      </c>
      <c r="AF13" s="30"/>
      <c r="AG13" s="1"/>
      <c r="AH13" s="1"/>
      <c r="AI13" s="1"/>
      <c r="AJ13" s="1"/>
      <c r="AK13" s="1"/>
      <c r="AL13" s="1"/>
      <c r="AM13" s="1"/>
      <c r="AN13" s="1"/>
      <c r="AO13" s="1"/>
      <c r="AP13" s="1"/>
    </row>
    <row r="14">
      <c r="A14" s="1"/>
      <c r="B14" s="44" t="s">
        <v>11</v>
      </c>
      <c r="C14" s="45" t="str">
        <f>C9</f>
        <v/>
      </c>
      <c r="D14" s="46" t="str">
        <f>C9</f>
        <v/>
      </c>
      <c r="E14" s="47" t="s">
        <v>18</v>
      </c>
      <c r="W14" s="1"/>
      <c r="X14" s="1"/>
      <c r="Y14" s="1"/>
      <c r="Z14" s="36"/>
      <c r="AA14" s="51"/>
      <c r="AB14" s="153"/>
      <c r="AD14" s="28" t="s">
        <v>19</v>
      </c>
      <c r="AE14" s="48">
        <f>M36</f>
        <v>0</v>
      </c>
      <c r="AF14" s="30"/>
      <c r="AG14" s="1"/>
      <c r="AH14" s="1"/>
      <c r="AI14" s="1"/>
      <c r="AJ14" s="1"/>
      <c r="AK14" s="1"/>
      <c r="AL14" s="1"/>
      <c r="AM14" s="1"/>
      <c r="AN14" s="1"/>
      <c r="AO14" s="1"/>
      <c r="AP14" s="1"/>
    </row>
    <row r="15">
      <c r="A15" s="1"/>
      <c r="B15" s="15" t="s">
        <v>20</v>
      </c>
      <c r="C15" s="49">
        <f t="shared" ref="C15:D15" si="1">C36</f>
        <v>0</v>
      </c>
      <c r="D15" s="50">
        <f t="shared" si="1"/>
        <v>0</v>
      </c>
      <c r="E15" s="1"/>
      <c r="W15" s="1"/>
      <c r="X15" s="1"/>
      <c r="Y15" s="1"/>
      <c r="Z15" s="36"/>
      <c r="AA15" s="36"/>
      <c r="AB15" s="152"/>
      <c r="AC15" s="152"/>
      <c r="AD15" s="28" t="s">
        <v>21</v>
      </c>
      <c r="AE15" s="29">
        <f>V36</f>
        <v>0</v>
      </c>
      <c r="AF15" s="30"/>
      <c r="AG15" s="1"/>
      <c r="AH15" s="1"/>
      <c r="AI15" s="1"/>
      <c r="AJ15" s="1"/>
      <c r="AK15" s="1"/>
      <c r="AL15" s="1"/>
      <c r="AM15" s="1"/>
      <c r="AN15" s="1"/>
      <c r="AO15" s="1"/>
      <c r="AP15" s="1"/>
    </row>
    <row r="16">
      <c r="A16" s="1"/>
      <c r="B16" s="15" t="s">
        <v>6</v>
      </c>
      <c r="C16" s="49">
        <f t="shared" ref="C16:D16" si="2">U36</f>
        <v>0</v>
      </c>
      <c r="D16" s="50">
        <f t="shared" si="2"/>
        <v>0</v>
      </c>
      <c r="E16" s="1"/>
      <c r="W16" s="1"/>
      <c r="X16" s="1"/>
      <c r="Y16" s="1"/>
      <c r="Z16" s="36"/>
      <c r="AA16" s="36"/>
      <c r="AB16" s="152"/>
      <c r="AC16" s="152"/>
      <c r="AD16" s="152"/>
      <c r="AE16" s="152"/>
      <c r="AF16" s="30"/>
      <c r="AG16" s="1"/>
      <c r="AH16" s="1"/>
      <c r="AI16" s="1"/>
      <c r="AJ16" s="1"/>
      <c r="AK16" s="1"/>
      <c r="AL16" s="1"/>
      <c r="AM16" s="1"/>
      <c r="AN16" s="1"/>
      <c r="AO16" s="1"/>
      <c r="AP16" s="1"/>
    </row>
    <row r="17">
      <c r="A17" s="1"/>
      <c r="B17" s="15" t="s">
        <v>4</v>
      </c>
      <c r="C17" s="49">
        <f>G36+M36</f>
        <v>0</v>
      </c>
      <c r="D17" s="50">
        <f>H36+M36</f>
        <v>0</v>
      </c>
      <c r="E17" s="1"/>
      <c r="W17" s="1"/>
      <c r="X17" s="1"/>
      <c r="Y17" s="1"/>
      <c r="Z17" s="36"/>
      <c r="AA17" s="36"/>
      <c r="AB17" s="152"/>
      <c r="AC17" s="152"/>
      <c r="AD17" s="152"/>
      <c r="AE17" s="152"/>
      <c r="AF17" s="30"/>
      <c r="AG17" s="1"/>
      <c r="AH17" s="1"/>
      <c r="AI17" s="1"/>
      <c r="AJ17" s="1"/>
      <c r="AK17" s="1"/>
      <c r="AL17" s="1"/>
      <c r="AM17" s="1"/>
      <c r="AN17" s="1"/>
      <c r="AO17" s="1"/>
      <c r="AP17" s="1"/>
    </row>
    <row r="18">
      <c r="A18" s="1"/>
      <c r="B18" s="53" t="s">
        <v>22</v>
      </c>
      <c r="C18" s="54">
        <f t="shared" ref="C18:D18" si="3">Q36</f>
        <v>0</v>
      </c>
      <c r="D18" s="55">
        <f t="shared" si="3"/>
        <v>0</v>
      </c>
      <c r="E18" s="1"/>
      <c r="W18" s="1"/>
      <c r="X18" s="1"/>
      <c r="Y18" s="1"/>
      <c r="Z18" s="1"/>
      <c r="AA18" s="1"/>
      <c r="AB18" s="30"/>
      <c r="AC18" s="30"/>
      <c r="AD18" s="30"/>
      <c r="AE18" s="30"/>
      <c r="AF18" s="30"/>
      <c r="AG18" s="1"/>
      <c r="AH18" s="1"/>
      <c r="AI18" s="1"/>
      <c r="AJ18" s="1"/>
      <c r="AK18" s="1"/>
      <c r="AL18" s="1"/>
      <c r="AM18" s="1"/>
      <c r="AN18" s="1"/>
      <c r="AO18" s="1"/>
      <c r="AP18" s="1"/>
    </row>
    <row r="19">
      <c r="A19" s="1"/>
      <c r="B19" s="56" t="s">
        <v>23</v>
      </c>
      <c r="C19" s="57">
        <f>C14+C15-C16-C17-C18</f>
        <v>0</v>
      </c>
      <c r="D19" s="58">
        <f>D14+D15-D17-D18-D16</f>
        <v>0</v>
      </c>
      <c r="E19" s="1"/>
      <c r="W19" s="1"/>
      <c r="X19" s="1"/>
      <c r="Y19" s="1"/>
      <c r="Z19" s="1"/>
      <c r="AA19" s="1"/>
      <c r="AB19" s="30"/>
      <c r="AC19" s="30"/>
      <c r="AD19" s="30"/>
      <c r="AE19" s="30"/>
      <c r="AF19" s="30"/>
      <c r="AG19" s="1"/>
      <c r="AH19" s="1"/>
      <c r="AI19" s="1"/>
      <c r="AJ19" s="1"/>
      <c r="AK19" s="1"/>
      <c r="AL19" s="1"/>
      <c r="AM19" s="1"/>
      <c r="AN19" s="1"/>
      <c r="AO19" s="1"/>
      <c r="AP19" s="1"/>
    </row>
    <row r="20">
      <c r="A20" s="1"/>
      <c r="B20" s="65"/>
      <c r="C20" s="66"/>
      <c r="D20" s="15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30"/>
      <c r="AC20" s="30"/>
      <c r="AD20" s="30"/>
      <c r="AE20" s="30"/>
      <c r="AF20" s="30"/>
      <c r="AG20" s="1"/>
      <c r="AH20" s="1"/>
      <c r="AI20" s="1"/>
      <c r="AJ20" s="1"/>
      <c r="AK20" s="1"/>
      <c r="AL20" s="1"/>
      <c r="AM20" s="1"/>
      <c r="AN20" s="1"/>
      <c r="AO20" s="1"/>
      <c r="AP20" s="1"/>
    </row>
    <row r="21">
      <c r="A21" s="1"/>
      <c r="B21" s="67" t="s">
        <v>20</v>
      </c>
      <c r="C21" s="4"/>
      <c r="D21" s="5"/>
      <c r="E21" s="1"/>
      <c r="F21" s="68" t="s">
        <v>25</v>
      </c>
      <c r="G21" s="4"/>
      <c r="H21" s="4"/>
      <c r="I21" s="5"/>
      <c r="J21" s="155"/>
      <c r="K21" s="70" t="s">
        <v>26</v>
      </c>
      <c r="L21" s="4"/>
      <c r="M21" s="4"/>
      <c r="N21" s="5"/>
      <c r="P21" s="71" t="s">
        <v>22</v>
      </c>
      <c r="Q21" s="4"/>
      <c r="R21" s="4"/>
      <c r="S21" s="156"/>
      <c r="T21" s="117" t="s">
        <v>6</v>
      </c>
      <c r="U21" s="4"/>
      <c r="V21" s="5"/>
      <c r="W21" s="1"/>
      <c r="X21" s="1"/>
      <c r="Y21" s="1"/>
      <c r="Z21" s="1"/>
      <c r="AA21" s="1"/>
      <c r="AB21" s="30"/>
      <c r="AC21" s="30"/>
      <c r="AD21" s="30"/>
      <c r="AE21" s="30"/>
      <c r="AF21" s="30"/>
      <c r="AG21" s="1"/>
      <c r="AH21" s="1"/>
      <c r="AI21" s="1"/>
      <c r="AJ21" s="1"/>
      <c r="AK21" s="1"/>
      <c r="AL21" s="1"/>
      <c r="AM21" s="1"/>
      <c r="AN21" s="1"/>
      <c r="AO21" s="1"/>
      <c r="AP21" s="1"/>
    </row>
    <row r="22">
      <c r="A22" s="1"/>
      <c r="B22" s="12"/>
      <c r="D22" s="13"/>
      <c r="E22" s="1"/>
      <c r="F22" s="25"/>
      <c r="G22" s="26"/>
      <c r="H22" s="26"/>
      <c r="I22" s="27"/>
      <c r="J22" s="155"/>
      <c r="K22" s="12"/>
      <c r="N22" s="13"/>
      <c r="P22" s="12"/>
      <c r="S22" s="156"/>
      <c r="T22" s="12"/>
      <c r="V22" s="13"/>
      <c r="W22" s="1"/>
      <c r="X22" s="1"/>
      <c r="Y22" s="1"/>
      <c r="Z22" s="1"/>
      <c r="AA22" s="1"/>
      <c r="AB22" s="30"/>
      <c r="AC22" s="30"/>
      <c r="AD22" s="30"/>
      <c r="AE22" s="30"/>
      <c r="AF22" s="30"/>
      <c r="AG22" s="1"/>
      <c r="AH22" s="1"/>
      <c r="AI22" s="1"/>
      <c r="AJ22" s="1"/>
      <c r="AK22" s="1"/>
      <c r="AL22" s="1"/>
      <c r="AM22" s="1"/>
      <c r="AN22" s="1"/>
      <c r="AO22" s="1"/>
      <c r="AP22" s="1"/>
    </row>
    <row r="23">
      <c r="A23" s="1"/>
      <c r="B23" s="157" t="s">
        <v>83</v>
      </c>
      <c r="C23" s="74" t="s">
        <v>27</v>
      </c>
      <c r="D23" s="75" t="s">
        <v>16</v>
      </c>
      <c r="E23" s="1"/>
      <c r="F23" s="158" t="s">
        <v>83</v>
      </c>
      <c r="G23" s="77" t="s">
        <v>15</v>
      </c>
      <c r="H23" s="77" t="s">
        <v>16</v>
      </c>
      <c r="I23" s="78" t="s">
        <v>84</v>
      </c>
      <c r="K23" s="159" t="s">
        <v>83</v>
      </c>
      <c r="L23" s="80" t="s">
        <v>15</v>
      </c>
      <c r="M23" s="80" t="s">
        <v>16</v>
      </c>
      <c r="N23" s="81" t="s">
        <v>84</v>
      </c>
      <c r="P23" s="160" t="s">
        <v>83</v>
      </c>
      <c r="Q23" s="83" t="s">
        <v>15</v>
      </c>
      <c r="R23" s="84" t="s">
        <v>16</v>
      </c>
      <c r="T23" s="161" t="s">
        <v>83</v>
      </c>
      <c r="U23" s="119" t="s">
        <v>15</v>
      </c>
      <c r="V23" s="120" t="s">
        <v>16</v>
      </c>
      <c r="W23" s="1"/>
      <c r="X23" s="1"/>
      <c r="Z23" s="1"/>
      <c r="AA23" s="1"/>
      <c r="AB23" s="30"/>
      <c r="AC23" s="162" t="s">
        <v>85</v>
      </c>
      <c r="AD23" s="163" t="s">
        <v>20</v>
      </c>
      <c r="AE23" s="162" t="s">
        <v>26</v>
      </c>
      <c r="AF23" s="30"/>
      <c r="AG23" s="1"/>
      <c r="AH23" s="1"/>
      <c r="AI23" s="1"/>
      <c r="AJ23" s="1"/>
      <c r="AK23" s="1"/>
      <c r="AL23" s="1"/>
      <c r="AM23" s="1"/>
      <c r="AN23" s="1"/>
      <c r="AO23" s="1"/>
      <c r="AP23" s="1"/>
    </row>
    <row r="24">
      <c r="A24" s="1"/>
      <c r="B24" s="44" t="s">
        <v>86</v>
      </c>
      <c r="C24" s="164">
        <f>January!C29+January!C39</f>
        <v>0</v>
      </c>
      <c r="D24" s="165">
        <f>January!D29+January!D39</f>
        <v>0</v>
      </c>
      <c r="E24" s="1"/>
      <c r="F24" s="44" t="s">
        <v>86</v>
      </c>
      <c r="G24" s="164">
        <f>January!I63</f>
        <v>0</v>
      </c>
      <c r="H24" s="164">
        <f>January!J63</f>
        <v>0</v>
      </c>
      <c r="I24" s="166">
        <f t="shared" ref="I24:I35" si="4">if(G24="",H24,(if(H24="","",G24-H24)))</f>
        <v>0</v>
      </c>
      <c r="K24" s="44" t="s">
        <v>86</v>
      </c>
      <c r="L24" s="164">
        <f>January!N63</f>
        <v>0</v>
      </c>
      <c r="M24" s="164">
        <f>January!O63</f>
        <v>0</v>
      </c>
      <c r="N24" s="167">
        <f t="shared" ref="N24:N35" si="5">if(L24="",M24,(if(M24="","",L24-M24)))</f>
        <v>0</v>
      </c>
      <c r="P24" s="44" t="s">
        <v>86</v>
      </c>
      <c r="Q24" s="164">
        <f>January!U49</f>
        <v>0</v>
      </c>
      <c r="R24" s="165">
        <f>January!V49</f>
        <v>0</v>
      </c>
      <c r="T24" s="44" t="s">
        <v>86</v>
      </c>
      <c r="U24" s="164">
        <f>January!C63</f>
        <v>0</v>
      </c>
      <c r="V24" s="165">
        <f>January!D63</f>
        <v>0</v>
      </c>
      <c r="W24" s="1"/>
      <c r="X24" s="1"/>
      <c r="Z24" s="1"/>
      <c r="AA24" s="36"/>
      <c r="AB24" s="152"/>
      <c r="AC24" s="65" t="s">
        <v>86</v>
      </c>
      <c r="AD24" s="168">
        <f>January!D29+January!D39</f>
        <v>0</v>
      </c>
      <c r="AE24" s="169">
        <f t="shared" ref="AE24:AE35" si="6">H24+M24+R24+V24</f>
        <v>0</v>
      </c>
      <c r="AF24" s="152"/>
      <c r="AG24" s="1"/>
      <c r="AH24" s="1"/>
      <c r="AI24" s="1"/>
      <c r="AJ24" s="1"/>
      <c r="AK24" s="1"/>
      <c r="AL24" s="1"/>
      <c r="AM24" s="1"/>
      <c r="AN24" s="1"/>
      <c r="AO24" s="1"/>
      <c r="AP24" s="1"/>
    </row>
    <row r="25">
      <c r="A25" s="1"/>
      <c r="B25" s="15" t="s">
        <v>87</v>
      </c>
      <c r="C25" s="170">
        <f>Feburary!C29+Feburary!C39</f>
        <v>0</v>
      </c>
      <c r="D25" s="89">
        <f>Feburary!D29+Feburary!D39</f>
        <v>0</v>
      </c>
      <c r="E25" s="1"/>
      <c r="F25" s="15" t="s">
        <v>87</v>
      </c>
      <c r="G25" s="170">
        <f>Feburary!I63</f>
        <v>0</v>
      </c>
      <c r="H25" s="170">
        <f>Feburary!J63</f>
        <v>0</v>
      </c>
      <c r="I25" s="166">
        <f t="shared" si="4"/>
        <v>0</v>
      </c>
      <c r="K25" s="15" t="s">
        <v>87</v>
      </c>
      <c r="L25" s="170">
        <f>Feburary!N63</f>
        <v>0</v>
      </c>
      <c r="M25" s="170">
        <f>Feburary!O63</f>
        <v>0</v>
      </c>
      <c r="N25" s="167">
        <f t="shared" si="5"/>
        <v>0</v>
      </c>
      <c r="P25" s="15" t="s">
        <v>87</v>
      </c>
      <c r="Q25" s="170">
        <f>Feburary!U49</f>
        <v>0</v>
      </c>
      <c r="R25" s="89">
        <f>Feburary!V49</f>
        <v>0</v>
      </c>
      <c r="T25" s="15" t="s">
        <v>87</v>
      </c>
      <c r="U25" s="170">
        <f>Feburary!C63</f>
        <v>0</v>
      </c>
      <c r="V25" s="89">
        <f>Feburary!D63</f>
        <v>0</v>
      </c>
      <c r="W25" s="1"/>
      <c r="X25" s="1"/>
      <c r="Z25" s="1"/>
      <c r="AA25" s="36"/>
      <c r="AB25" s="152"/>
      <c r="AC25" s="65" t="s">
        <v>87</v>
      </c>
      <c r="AD25" s="168">
        <f>Feburary!D29+Feburary!D39</f>
        <v>0</v>
      </c>
      <c r="AE25" s="169">
        <f t="shared" si="6"/>
        <v>0</v>
      </c>
      <c r="AF25" s="152"/>
      <c r="AG25" s="1"/>
      <c r="AH25" s="1"/>
      <c r="AI25" s="1"/>
      <c r="AJ25" s="1"/>
      <c r="AK25" s="1"/>
      <c r="AL25" s="1"/>
      <c r="AM25" s="1"/>
      <c r="AN25" s="1"/>
      <c r="AO25" s="1"/>
      <c r="AP25" s="1"/>
    </row>
    <row r="26">
      <c r="A26" s="1"/>
      <c r="B26" s="44" t="s">
        <v>88</v>
      </c>
      <c r="C26" s="164">
        <f>March!C29+March!C39</f>
        <v>0</v>
      </c>
      <c r="D26" s="165">
        <f>March!D29+March!D39</f>
        <v>0</v>
      </c>
      <c r="E26" s="1"/>
      <c r="F26" s="44" t="s">
        <v>88</v>
      </c>
      <c r="G26" s="170">
        <f>March!I63</f>
        <v>0</v>
      </c>
      <c r="H26" s="170">
        <f>March!J63</f>
        <v>0</v>
      </c>
      <c r="I26" s="166">
        <f t="shared" si="4"/>
        <v>0</v>
      </c>
      <c r="K26" s="44" t="s">
        <v>88</v>
      </c>
      <c r="L26" s="170">
        <f>March!N63</f>
        <v>0</v>
      </c>
      <c r="M26" s="170">
        <f>March!O63</f>
        <v>0</v>
      </c>
      <c r="N26" s="167">
        <f t="shared" si="5"/>
        <v>0</v>
      </c>
      <c r="P26" s="44" t="s">
        <v>88</v>
      </c>
      <c r="Q26" s="170">
        <f>March!U49</f>
        <v>0</v>
      </c>
      <c r="R26" s="89">
        <f>March!V49</f>
        <v>0</v>
      </c>
      <c r="T26" s="44" t="s">
        <v>88</v>
      </c>
      <c r="U26" s="170">
        <f>March!C63</f>
        <v>0</v>
      </c>
      <c r="V26" s="89">
        <f>March!D63</f>
        <v>0</v>
      </c>
      <c r="W26" s="1"/>
      <c r="X26" s="1"/>
      <c r="Z26" s="1"/>
      <c r="AA26" s="36"/>
      <c r="AB26" s="152"/>
      <c r="AC26" s="65" t="s">
        <v>88</v>
      </c>
      <c r="AD26" s="168">
        <f>March!D29+March!D39</f>
        <v>0</v>
      </c>
      <c r="AE26" s="169">
        <f t="shared" si="6"/>
        <v>0</v>
      </c>
      <c r="AF26" s="152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>
      <c r="A27" s="1"/>
      <c r="B27" s="15" t="s">
        <v>89</v>
      </c>
      <c r="C27" s="170">
        <f>April!C29+April!C39</f>
        <v>0</v>
      </c>
      <c r="D27" s="89">
        <f>April!D29+April!D39</f>
        <v>0</v>
      </c>
      <c r="E27" s="1"/>
      <c r="F27" s="15" t="s">
        <v>89</v>
      </c>
      <c r="G27" s="170">
        <f>April!I63</f>
        <v>0</v>
      </c>
      <c r="H27" s="171">
        <f>April!J63</f>
        <v>0</v>
      </c>
      <c r="I27" s="166">
        <f t="shared" si="4"/>
        <v>0</v>
      </c>
      <c r="K27" s="15" t="s">
        <v>89</v>
      </c>
      <c r="L27" s="170">
        <f>April!N63</f>
        <v>0</v>
      </c>
      <c r="M27" s="170">
        <f>April!O63</f>
        <v>0</v>
      </c>
      <c r="N27" s="167">
        <f t="shared" si="5"/>
        <v>0</v>
      </c>
      <c r="P27" s="15" t="s">
        <v>89</v>
      </c>
      <c r="Q27" s="170">
        <f>April!U49</f>
        <v>0</v>
      </c>
      <c r="R27" s="89">
        <f>April!V49</f>
        <v>0</v>
      </c>
      <c r="T27" s="15" t="s">
        <v>89</v>
      </c>
      <c r="U27" s="170">
        <f>April!C63</f>
        <v>0</v>
      </c>
      <c r="V27" s="89">
        <f>April!D63</f>
        <v>0</v>
      </c>
      <c r="W27" s="1"/>
      <c r="X27" s="1"/>
      <c r="Z27" s="1"/>
      <c r="AA27" s="36"/>
      <c r="AB27" s="152"/>
      <c r="AC27" s="65" t="s">
        <v>89</v>
      </c>
      <c r="AD27" s="168">
        <f>April!D29+April!D39</f>
        <v>0</v>
      </c>
      <c r="AE27" s="169">
        <f t="shared" si="6"/>
        <v>0</v>
      </c>
      <c r="AF27" s="152"/>
      <c r="AG27" s="1"/>
      <c r="AH27" s="1"/>
      <c r="AI27" s="1"/>
      <c r="AJ27" s="1"/>
      <c r="AK27" s="1"/>
      <c r="AL27" s="1"/>
      <c r="AM27" s="1"/>
      <c r="AN27" s="1"/>
      <c r="AO27" s="1"/>
      <c r="AP27" s="1"/>
    </row>
    <row r="28">
      <c r="A28" s="1"/>
      <c r="B28" s="44" t="s">
        <v>90</v>
      </c>
      <c r="C28" s="164">
        <f>May!C29+May!C39</f>
        <v>0</v>
      </c>
      <c r="D28" s="165">
        <f>May!D29+May!D39</f>
        <v>0</v>
      </c>
      <c r="E28" s="1"/>
      <c r="F28" s="44" t="s">
        <v>90</v>
      </c>
      <c r="G28" s="170">
        <f>May!I63</f>
        <v>0</v>
      </c>
      <c r="H28" s="170">
        <f>May!J63</f>
        <v>0</v>
      </c>
      <c r="I28" s="166">
        <f t="shared" si="4"/>
        <v>0</v>
      </c>
      <c r="K28" s="44" t="s">
        <v>90</v>
      </c>
      <c r="L28" s="170">
        <f>May!N63</f>
        <v>0</v>
      </c>
      <c r="M28" s="170">
        <f>May!O63</f>
        <v>0</v>
      </c>
      <c r="N28" s="167">
        <f t="shared" si="5"/>
        <v>0</v>
      </c>
      <c r="P28" s="44" t="s">
        <v>90</v>
      </c>
      <c r="Q28" s="49">
        <f>May!U49</f>
        <v>0</v>
      </c>
      <c r="R28" s="89">
        <f>May!V49</f>
        <v>0</v>
      </c>
      <c r="T28" s="44" t="s">
        <v>90</v>
      </c>
      <c r="U28" s="170">
        <f>May!C63</f>
        <v>0</v>
      </c>
      <c r="V28" s="89">
        <f>May!D63</f>
        <v>0</v>
      </c>
      <c r="W28" s="1"/>
      <c r="X28" s="1"/>
      <c r="Z28" s="1"/>
      <c r="AA28" s="36"/>
      <c r="AB28" s="152"/>
      <c r="AC28" s="65" t="s">
        <v>90</v>
      </c>
      <c r="AD28" s="168">
        <f>May!D29+May!D39</f>
        <v>0</v>
      </c>
      <c r="AE28" s="169">
        <f t="shared" si="6"/>
        <v>0</v>
      </c>
      <c r="AF28" s="152"/>
      <c r="AG28" s="1"/>
      <c r="AH28" s="1"/>
      <c r="AI28" s="1"/>
      <c r="AJ28" s="1"/>
      <c r="AK28" s="1"/>
      <c r="AL28" s="1"/>
      <c r="AM28" s="1"/>
      <c r="AN28" s="1"/>
      <c r="AO28" s="1"/>
      <c r="AP28" s="1"/>
    </row>
    <row r="29">
      <c r="A29" s="1"/>
      <c r="B29" s="15" t="s">
        <v>91</v>
      </c>
      <c r="C29" s="170">
        <f>June!C29+June!C39</f>
        <v>0</v>
      </c>
      <c r="D29" s="89">
        <f>June!D29+June!D39</f>
        <v>0</v>
      </c>
      <c r="E29" s="1"/>
      <c r="F29" s="15" t="s">
        <v>91</v>
      </c>
      <c r="G29" s="170">
        <f>June!I63</f>
        <v>0</v>
      </c>
      <c r="H29" s="170">
        <f>June!J63</f>
        <v>0</v>
      </c>
      <c r="I29" s="166">
        <f t="shared" si="4"/>
        <v>0</v>
      </c>
      <c r="K29" s="15" t="s">
        <v>91</v>
      </c>
      <c r="L29" s="170">
        <f>June!N63</f>
        <v>0</v>
      </c>
      <c r="M29" s="170">
        <f>June!O63</f>
        <v>0</v>
      </c>
      <c r="N29" s="167">
        <f t="shared" si="5"/>
        <v>0</v>
      </c>
      <c r="P29" s="15" t="s">
        <v>91</v>
      </c>
      <c r="Q29" s="49">
        <f>June!U49</f>
        <v>0</v>
      </c>
      <c r="R29" s="50">
        <f>June!V49</f>
        <v>0</v>
      </c>
      <c r="T29" s="15" t="s">
        <v>91</v>
      </c>
      <c r="U29" s="170">
        <f>June!C63</f>
        <v>0</v>
      </c>
      <c r="V29" s="89">
        <f>June!D63</f>
        <v>0</v>
      </c>
      <c r="W29" s="1"/>
      <c r="X29" s="1"/>
      <c r="Z29" s="1"/>
      <c r="AA29" s="172"/>
      <c r="AB29" s="152"/>
      <c r="AC29" s="65" t="s">
        <v>91</v>
      </c>
      <c r="AD29" s="168">
        <f>June!D29+June!D39</f>
        <v>0</v>
      </c>
      <c r="AE29" s="169">
        <f t="shared" si="6"/>
        <v>0</v>
      </c>
      <c r="AF29" s="152"/>
      <c r="AG29" s="1"/>
      <c r="AH29" s="1"/>
      <c r="AI29" s="1"/>
      <c r="AJ29" s="1"/>
      <c r="AK29" s="1"/>
      <c r="AL29" s="1"/>
      <c r="AM29" s="1"/>
      <c r="AN29" s="1"/>
      <c r="AO29" s="1"/>
      <c r="AP29" s="1"/>
    </row>
    <row r="30">
      <c r="A30" s="1"/>
      <c r="B30" s="44" t="s">
        <v>92</v>
      </c>
      <c r="C30" s="164">
        <f>July!C29+July!C39</f>
        <v>0</v>
      </c>
      <c r="D30" s="165">
        <f>July!D29+July!D39</f>
        <v>0</v>
      </c>
      <c r="E30" s="1"/>
      <c r="F30" s="44" t="s">
        <v>92</v>
      </c>
      <c r="G30" s="170">
        <f>July!I63</f>
        <v>0</v>
      </c>
      <c r="H30" s="170">
        <f>July!J63</f>
        <v>0</v>
      </c>
      <c r="I30" s="166">
        <f t="shared" si="4"/>
        <v>0</v>
      </c>
      <c r="K30" s="44" t="s">
        <v>92</v>
      </c>
      <c r="L30" s="170">
        <f>July!N63</f>
        <v>0</v>
      </c>
      <c r="M30" s="170">
        <f>July!O63</f>
        <v>0</v>
      </c>
      <c r="N30" s="167">
        <f t="shared" si="5"/>
        <v>0</v>
      </c>
      <c r="P30" s="44" t="s">
        <v>92</v>
      </c>
      <c r="Q30" s="49">
        <f>July!U49</f>
        <v>0</v>
      </c>
      <c r="R30" s="50">
        <f>July!V49</f>
        <v>0</v>
      </c>
      <c r="T30" s="44" t="s">
        <v>92</v>
      </c>
      <c r="U30" s="170">
        <f>July!C63</f>
        <v>0</v>
      </c>
      <c r="V30" s="89">
        <f>July!D63</f>
        <v>0</v>
      </c>
      <c r="W30" s="1"/>
      <c r="X30" s="1"/>
      <c r="Z30" s="1"/>
      <c r="AA30" s="36"/>
      <c r="AB30" s="152"/>
      <c r="AC30" s="65" t="s">
        <v>92</v>
      </c>
      <c r="AD30" s="168">
        <f>July!D29+July!D39</f>
        <v>0</v>
      </c>
      <c r="AE30" s="169">
        <f t="shared" si="6"/>
        <v>0</v>
      </c>
      <c r="AF30" s="152"/>
      <c r="AG30" s="1"/>
      <c r="AH30" s="1"/>
      <c r="AI30" s="1"/>
      <c r="AJ30" s="1"/>
      <c r="AK30" s="1"/>
      <c r="AL30" s="1"/>
      <c r="AM30" s="1"/>
      <c r="AN30" s="1"/>
      <c r="AO30" s="1"/>
      <c r="AP30" s="1"/>
    </row>
    <row r="31">
      <c r="A31" s="1"/>
      <c r="B31" s="15" t="s">
        <v>93</v>
      </c>
      <c r="C31" s="170">
        <f>August!C29+August!C39</f>
        <v>0</v>
      </c>
      <c r="D31" s="89">
        <f>August!D29+August!D39</f>
        <v>0</v>
      </c>
      <c r="E31" s="1"/>
      <c r="F31" s="15" t="s">
        <v>93</v>
      </c>
      <c r="G31" s="170">
        <f>August!I63</f>
        <v>0</v>
      </c>
      <c r="H31" s="170">
        <f>August!J63</f>
        <v>0</v>
      </c>
      <c r="I31" s="166">
        <f t="shared" si="4"/>
        <v>0</v>
      </c>
      <c r="K31" s="15" t="s">
        <v>93</v>
      </c>
      <c r="L31" s="170">
        <f>August!N63</f>
        <v>0</v>
      </c>
      <c r="M31" s="170">
        <f>August!O63</f>
        <v>0</v>
      </c>
      <c r="N31" s="167">
        <f t="shared" si="5"/>
        <v>0</v>
      </c>
      <c r="P31" s="15" t="s">
        <v>93</v>
      </c>
      <c r="Q31" s="49">
        <f>August!U49</f>
        <v>0</v>
      </c>
      <c r="R31" s="50">
        <f>August!V49</f>
        <v>0</v>
      </c>
      <c r="T31" s="15" t="s">
        <v>93</v>
      </c>
      <c r="U31" s="170">
        <f>August!C63</f>
        <v>0</v>
      </c>
      <c r="V31" s="89">
        <f>August!D63</f>
        <v>0</v>
      </c>
      <c r="W31" s="1"/>
      <c r="X31" s="1"/>
      <c r="Z31" s="1"/>
      <c r="AA31" s="36"/>
      <c r="AB31" s="152"/>
      <c r="AC31" s="65" t="s">
        <v>93</v>
      </c>
      <c r="AD31" s="168">
        <f>August!D29+August!D39</f>
        <v>0</v>
      </c>
      <c r="AE31" s="169">
        <f t="shared" si="6"/>
        <v>0</v>
      </c>
      <c r="AF31" s="152"/>
      <c r="AG31" s="1"/>
      <c r="AH31" s="1"/>
      <c r="AI31" s="1"/>
      <c r="AJ31" s="1"/>
      <c r="AK31" s="1"/>
      <c r="AL31" s="1"/>
      <c r="AM31" s="1"/>
      <c r="AN31" s="1"/>
      <c r="AO31" s="1"/>
      <c r="AP31" s="1"/>
    </row>
    <row r="32">
      <c r="A32" s="1"/>
      <c r="B32" s="44" t="s">
        <v>94</v>
      </c>
      <c r="C32" s="164">
        <f>September!C29+September!C39</f>
        <v>0</v>
      </c>
      <c r="D32" s="165">
        <f>September!D29+September!D39</f>
        <v>0</v>
      </c>
      <c r="E32" s="1"/>
      <c r="F32" s="44" t="s">
        <v>94</v>
      </c>
      <c r="G32" s="170">
        <f>September!I63</f>
        <v>0</v>
      </c>
      <c r="H32" s="170">
        <f>September!J63</f>
        <v>0</v>
      </c>
      <c r="I32" s="166">
        <f t="shared" si="4"/>
        <v>0</v>
      </c>
      <c r="K32" s="44" t="s">
        <v>94</v>
      </c>
      <c r="L32" s="170">
        <f>September!N63</f>
        <v>0</v>
      </c>
      <c r="M32" s="170">
        <f>September!O63</f>
        <v>0</v>
      </c>
      <c r="N32" s="167">
        <f t="shared" si="5"/>
        <v>0</v>
      </c>
      <c r="P32" s="44" t="s">
        <v>94</v>
      </c>
      <c r="Q32" s="49">
        <f>September!U49</f>
        <v>0</v>
      </c>
      <c r="R32" s="50">
        <f>September!V49</f>
        <v>0</v>
      </c>
      <c r="T32" s="44" t="s">
        <v>94</v>
      </c>
      <c r="U32" s="170">
        <f>September!C63</f>
        <v>0</v>
      </c>
      <c r="V32" s="89">
        <f>September!D63</f>
        <v>0</v>
      </c>
      <c r="W32" s="1"/>
      <c r="X32" s="1"/>
      <c r="Z32" s="1"/>
      <c r="AA32" s="36"/>
      <c r="AB32" s="152"/>
      <c r="AC32" s="65" t="s">
        <v>94</v>
      </c>
      <c r="AD32" s="168">
        <f>September!D29+September!D39</f>
        <v>0</v>
      </c>
      <c r="AE32" s="169">
        <f t="shared" si="6"/>
        <v>0</v>
      </c>
      <c r="AF32" s="152"/>
      <c r="AG32" s="1"/>
      <c r="AH32" s="1"/>
      <c r="AI32" s="1"/>
      <c r="AJ32" s="1"/>
      <c r="AK32" s="1"/>
      <c r="AL32" s="1"/>
      <c r="AM32" s="1"/>
      <c r="AN32" s="1"/>
      <c r="AO32" s="1"/>
      <c r="AP32" s="1"/>
    </row>
    <row r="33">
      <c r="A33" s="1"/>
      <c r="B33" s="15" t="s">
        <v>95</v>
      </c>
      <c r="C33" s="170">
        <f>October!C29+October!C39</f>
        <v>0</v>
      </c>
      <c r="D33" s="89">
        <f>October!D29+October!D39</f>
        <v>0</v>
      </c>
      <c r="E33" s="1"/>
      <c r="F33" s="15" t="s">
        <v>95</v>
      </c>
      <c r="G33" s="170">
        <f>October!I63</f>
        <v>0</v>
      </c>
      <c r="H33" s="170">
        <f>October!J63</f>
        <v>0</v>
      </c>
      <c r="I33" s="166">
        <f t="shared" si="4"/>
        <v>0</v>
      </c>
      <c r="K33" s="15" t="s">
        <v>95</v>
      </c>
      <c r="L33" s="170">
        <f>October!N63</f>
        <v>0</v>
      </c>
      <c r="M33" s="170">
        <f>October!O63</f>
        <v>0</v>
      </c>
      <c r="N33" s="167">
        <f t="shared" si="5"/>
        <v>0</v>
      </c>
      <c r="P33" s="15" t="s">
        <v>95</v>
      </c>
      <c r="Q33" s="49">
        <f>October!U49</f>
        <v>0</v>
      </c>
      <c r="R33" s="50">
        <f>October!V49</f>
        <v>0</v>
      </c>
      <c r="T33" s="15" t="s">
        <v>95</v>
      </c>
      <c r="U33" s="170">
        <f>October!C63</f>
        <v>0</v>
      </c>
      <c r="V33" s="89">
        <f>October!D63</f>
        <v>0</v>
      </c>
      <c r="W33" s="1"/>
      <c r="X33" s="1"/>
      <c r="Z33" s="1"/>
      <c r="AA33" s="36"/>
      <c r="AB33" s="152"/>
      <c r="AC33" s="65" t="s">
        <v>95</v>
      </c>
      <c r="AD33" s="168">
        <f>October!D29+October!D39</f>
        <v>0</v>
      </c>
      <c r="AE33" s="169">
        <f t="shared" si="6"/>
        <v>0</v>
      </c>
      <c r="AF33" s="152"/>
      <c r="AG33" s="1"/>
      <c r="AH33" s="1"/>
      <c r="AI33" s="1"/>
      <c r="AJ33" s="1"/>
      <c r="AK33" s="1"/>
      <c r="AL33" s="1"/>
      <c r="AM33" s="1"/>
      <c r="AN33" s="1"/>
      <c r="AO33" s="1"/>
      <c r="AP33" s="1"/>
    </row>
    <row r="34">
      <c r="A34" s="1"/>
      <c r="B34" s="44" t="s">
        <v>96</v>
      </c>
      <c r="C34" s="164">
        <f>November!C29+November!C39</f>
        <v>0</v>
      </c>
      <c r="D34" s="165">
        <f>November!D29+November!D39</f>
        <v>0</v>
      </c>
      <c r="E34" s="1"/>
      <c r="F34" s="44" t="s">
        <v>96</v>
      </c>
      <c r="G34" s="170">
        <f>November!I63</f>
        <v>0</v>
      </c>
      <c r="H34" s="170">
        <f>November!J63</f>
        <v>0</v>
      </c>
      <c r="I34" s="166">
        <f t="shared" si="4"/>
        <v>0</v>
      </c>
      <c r="K34" s="44" t="s">
        <v>96</v>
      </c>
      <c r="L34" s="170">
        <f>November!N63</f>
        <v>0</v>
      </c>
      <c r="M34" s="170">
        <f>November!O63</f>
        <v>0</v>
      </c>
      <c r="N34" s="167">
        <f t="shared" si="5"/>
        <v>0</v>
      </c>
      <c r="P34" s="44" t="s">
        <v>96</v>
      </c>
      <c r="Q34" s="49">
        <f>November!U49</f>
        <v>0</v>
      </c>
      <c r="R34" s="50">
        <f>November!V49</f>
        <v>0</v>
      </c>
      <c r="T34" s="44" t="s">
        <v>96</v>
      </c>
      <c r="U34" s="170">
        <f>November!C63</f>
        <v>0</v>
      </c>
      <c r="V34" s="89">
        <f>November!D63</f>
        <v>0</v>
      </c>
      <c r="W34" s="1"/>
      <c r="X34" s="1"/>
      <c r="Z34" s="1"/>
      <c r="AA34" s="36"/>
      <c r="AB34" s="152"/>
      <c r="AC34" s="65" t="s">
        <v>96</v>
      </c>
      <c r="AD34" s="168">
        <f>November!D29+November!D39</f>
        <v>0</v>
      </c>
      <c r="AE34" s="169">
        <f t="shared" si="6"/>
        <v>0</v>
      </c>
      <c r="AF34" s="152"/>
      <c r="AG34" s="1"/>
      <c r="AH34" s="1"/>
      <c r="AI34" s="1"/>
      <c r="AJ34" s="1"/>
      <c r="AK34" s="1"/>
      <c r="AL34" s="1"/>
      <c r="AM34" s="1"/>
      <c r="AN34" s="1"/>
      <c r="AO34" s="1"/>
      <c r="AP34" s="1"/>
    </row>
    <row r="35">
      <c r="A35" s="1"/>
      <c r="B35" s="15" t="s">
        <v>97</v>
      </c>
      <c r="C35" s="170">
        <f>December!C29+December!C39</f>
        <v>0</v>
      </c>
      <c r="D35" s="89">
        <f>December!D29+December!D39</f>
        <v>0</v>
      </c>
      <c r="E35" s="1"/>
      <c r="F35" s="15" t="s">
        <v>97</v>
      </c>
      <c r="G35" s="170">
        <f>December!I63</f>
        <v>0</v>
      </c>
      <c r="H35" s="170">
        <f>December!J63</f>
        <v>0</v>
      </c>
      <c r="I35" s="166">
        <f t="shared" si="4"/>
        <v>0</v>
      </c>
      <c r="K35" s="15" t="s">
        <v>97</v>
      </c>
      <c r="L35" s="170">
        <f>December!N63</f>
        <v>0</v>
      </c>
      <c r="M35" s="170">
        <f>December!O63</f>
        <v>0</v>
      </c>
      <c r="N35" s="167">
        <f t="shared" si="5"/>
        <v>0</v>
      </c>
      <c r="P35" s="15" t="s">
        <v>97</v>
      </c>
      <c r="Q35" s="49">
        <f>December!U49</f>
        <v>0</v>
      </c>
      <c r="R35" s="50">
        <f>December!V49</f>
        <v>0</v>
      </c>
      <c r="T35" s="15" t="s">
        <v>97</v>
      </c>
      <c r="U35" s="170">
        <f>December!C63</f>
        <v>0</v>
      </c>
      <c r="V35" s="89">
        <f>December!D63</f>
        <v>0</v>
      </c>
      <c r="W35" s="1"/>
      <c r="X35" s="1"/>
      <c r="Z35" s="1"/>
      <c r="AA35" s="36"/>
      <c r="AB35" s="152"/>
      <c r="AC35" s="65" t="s">
        <v>97</v>
      </c>
      <c r="AD35" s="168">
        <f>December!D29+December!D39</f>
        <v>0</v>
      </c>
      <c r="AE35" s="169">
        <f t="shared" si="6"/>
        <v>0</v>
      </c>
      <c r="AF35" s="152"/>
      <c r="AG35" s="1"/>
      <c r="AH35" s="1"/>
      <c r="AI35" s="1"/>
      <c r="AJ35" s="1"/>
      <c r="AK35" s="1"/>
      <c r="AL35" s="1"/>
      <c r="AM35" s="1"/>
      <c r="AN35" s="1"/>
      <c r="AO35" s="1"/>
      <c r="AP35" s="1"/>
    </row>
    <row r="36">
      <c r="A36" s="1"/>
      <c r="B36" s="100" t="s">
        <v>48</v>
      </c>
      <c r="C36" s="101">
        <f>SUM(C24:C35)</f>
        <v>0</v>
      </c>
      <c r="D36" s="102">
        <f>sum(D24:D35)</f>
        <v>0</v>
      </c>
      <c r="E36" s="1"/>
      <c r="F36" s="173" t="s">
        <v>48</v>
      </c>
      <c r="G36" s="174">
        <f t="shared" ref="G36:H36" si="7">SUM(G24:G35)</f>
        <v>0</v>
      </c>
      <c r="H36" s="174">
        <f t="shared" si="7"/>
        <v>0</v>
      </c>
      <c r="I36" s="175">
        <f>sum(I24:I35)</f>
        <v>0</v>
      </c>
      <c r="K36" s="143" t="s">
        <v>48</v>
      </c>
      <c r="L36" s="144">
        <f t="shared" ref="L36:N36" si="8">SUM(L24:L35)</f>
        <v>0</v>
      </c>
      <c r="M36" s="176">
        <f t="shared" si="8"/>
        <v>0</v>
      </c>
      <c r="N36" s="177">
        <f t="shared" si="8"/>
        <v>0</v>
      </c>
      <c r="P36" s="178" t="s">
        <v>48</v>
      </c>
      <c r="Q36" s="179">
        <f t="shared" ref="Q36:R36" si="9">SUM(Q24:Q35)</f>
        <v>0</v>
      </c>
      <c r="R36" s="179">
        <f t="shared" si="9"/>
        <v>0</v>
      </c>
      <c r="T36" s="135" t="s">
        <v>48</v>
      </c>
      <c r="U36" s="136">
        <f t="shared" ref="U36:V36" si="10">SUM(U24:U35)</f>
        <v>0</v>
      </c>
      <c r="V36" s="137">
        <f t="shared" si="10"/>
        <v>0</v>
      </c>
      <c r="W36" s="1"/>
      <c r="X36" s="1"/>
      <c r="Y36" s="1"/>
      <c r="Z36" s="1"/>
      <c r="AA36" s="36"/>
      <c r="AB36" s="152"/>
      <c r="AC36" s="152"/>
      <c r="AD36" s="152"/>
      <c r="AE36" s="152"/>
      <c r="AF36" s="152"/>
    </row>
    <row r="37">
      <c r="A37" s="1"/>
      <c r="E37" s="1"/>
      <c r="F37" s="180"/>
      <c r="G37" s="180"/>
      <c r="H37" s="180"/>
      <c r="I37" s="180"/>
      <c r="J37" s="181"/>
      <c r="K37" s="181"/>
      <c r="L37" s="1"/>
      <c r="M37" s="182"/>
      <c r="N37" s="183"/>
      <c r="O37" s="184"/>
      <c r="P37" s="184" t="str">
        <f>if(N37="",O37,(if(O37="","",N37-O37)))</f>
        <v/>
      </c>
      <c r="Q37" s="1"/>
      <c r="R37" s="36"/>
      <c r="S37" s="36"/>
      <c r="W37" s="1"/>
      <c r="X37" s="1"/>
      <c r="Y37" s="1"/>
      <c r="Z37" s="1"/>
      <c r="AA37" s="36"/>
      <c r="AB37" s="36"/>
      <c r="AC37" s="36"/>
      <c r="AD37" s="36"/>
      <c r="AE37" s="36"/>
      <c r="AF37" s="36"/>
      <c r="AG37" s="1"/>
      <c r="AH37" s="1"/>
      <c r="AI37" s="1"/>
      <c r="AJ37" s="1"/>
      <c r="AK37" s="1"/>
      <c r="AL37" s="1"/>
      <c r="AM37" s="1"/>
      <c r="AN37" s="1"/>
      <c r="AO37" s="1"/>
      <c r="AP37" s="1"/>
    </row>
    <row r="38">
      <c r="A38" s="1"/>
      <c r="E38" s="1"/>
      <c r="F38" s="181"/>
      <c r="G38" s="181"/>
      <c r="H38" s="181"/>
      <c r="I38" s="181"/>
      <c r="J38" s="181"/>
      <c r="K38" s="181"/>
      <c r="L38" s="1"/>
      <c r="M38" s="36"/>
      <c r="N38" s="185"/>
      <c r="O38" s="185"/>
      <c r="P38" s="184"/>
      <c r="Q38" s="1"/>
      <c r="R38" s="36"/>
      <c r="S38" s="36"/>
      <c r="T38" s="36"/>
      <c r="U38" s="36"/>
      <c r="V38" s="36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</row>
    <row r="39">
      <c r="A39" s="1"/>
      <c r="E39" s="1"/>
      <c r="F39" s="181"/>
      <c r="G39" s="181"/>
      <c r="H39" s="181"/>
      <c r="I39" s="181"/>
      <c r="J39" s="181"/>
      <c r="K39" s="181"/>
      <c r="L39" s="1"/>
      <c r="M39" s="36"/>
      <c r="N39" s="184"/>
      <c r="O39" s="184"/>
      <c r="P39" s="184"/>
      <c r="Q39" s="1"/>
      <c r="R39" s="36"/>
      <c r="S39" s="36"/>
      <c r="T39" s="36"/>
      <c r="U39" s="36"/>
      <c r="V39" s="36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</row>
    <row r="40">
      <c r="A40" s="1"/>
      <c r="B40" s="1"/>
      <c r="C40" s="1"/>
      <c r="D40" s="1"/>
      <c r="E40" s="1"/>
      <c r="F40" s="181"/>
      <c r="G40" s="181"/>
      <c r="H40" s="181"/>
      <c r="I40" s="181"/>
      <c r="J40" s="181"/>
      <c r="K40" s="181"/>
      <c r="L40" s="1"/>
      <c r="M40" s="36"/>
      <c r="N40" s="184"/>
      <c r="O40" s="184"/>
      <c r="P40" s="184"/>
      <c r="Q40" s="1"/>
      <c r="R40" s="36"/>
      <c r="S40" s="36"/>
      <c r="T40" s="36"/>
      <c r="U40" s="36"/>
      <c r="V40" s="36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</row>
    <row r="41">
      <c r="A41" s="1"/>
      <c r="E41" s="1"/>
      <c r="F41" s="181"/>
      <c r="G41" s="181"/>
      <c r="H41" s="181"/>
      <c r="I41" s="181"/>
      <c r="J41" s="181"/>
      <c r="K41" s="181"/>
      <c r="L41" s="1"/>
      <c r="M41" s="36"/>
      <c r="N41" s="184"/>
      <c r="O41" s="184"/>
      <c r="P41" s="184"/>
      <c r="Q41" s="1"/>
      <c r="R41" s="36"/>
      <c r="S41" s="36"/>
      <c r="T41" s="36"/>
      <c r="U41" s="36"/>
      <c r="V41" s="36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</row>
    <row r="42">
      <c r="A42" s="1"/>
      <c r="E42" s="1"/>
      <c r="F42" s="181"/>
      <c r="G42" s="181"/>
      <c r="H42" s="181"/>
      <c r="I42" s="181"/>
      <c r="J42" s="181"/>
      <c r="K42" s="181"/>
      <c r="L42" s="1"/>
      <c r="M42" s="36"/>
      <c r="N42" s="185"/>
      <c r="O42" s="185"/>
      <c r="P42" s="184"/>
      <c r="Q42" s="1"/>
      <c r="R42" s="36"/>
      <c r="S42" s="36"/>
      <c r="T42" s="36"/>
      <c r="U42" s="36"/>
      <c r="V42" s="36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</row>
    <row r="43">
      <c r="A43" s="1"/>
      <c r="E43" s="1"/>
      <c r="F43" s="181"/>
      <c r="G43" s="181"/>
      <c r="H43" s="181"/>
      <c r="I43" s="181"/>
      <c r="J43" s="181"/>
      <c r="K43" s="181"/>
      <c r="L43" s="1"/>
      <c r="M43" s="36"/>
      <c r="N43" s="185"/>
      <c r="O43" s="185"/>
      <c r="P43" s="184"/>
      <c r="Q43" s="1"/>
      <c r="R43" s="36"/>
      <c r="S43" s="36"/>
      <c r="T43" s="36"/>
      <c r="U43" s="36"/>
      <c r="V43" s="36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</row>
    <row r="44">
      <c r="A44" s="1"/>
      <c r="E44" s="1"/>
      <c r="F44" s="181"/>
      <c r="G44" s="181"/>
      <c r="H44" s="181"/>
      <c r="I44" s="181"/>
      <c r="J44" s="181"/>
      <c r="K44" s="181"/>
      <c r="L44" s="1"/>
      <c r="M44" s="36"/>
      <c r="N44" s="184"/>
      <c r="O44" s="185"/>
      <c r="P44" s="184"/>
      <c r="Q44" s="1"/>
      <c r="R44" s="36"/>
      <c r="S44" s="36"/>
      <c r="T44" s="36"/>
      <c r="U44" s="36"/>
      <c r="V44" s="36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</row>
    <row r="45">
      <c r="A45" s="1"/>
      <c r="E45" s="1"/>
      <c r="F45" s="181"/>
      <c r="G45" s="181"/>
      <c r="H45" s="181"/>
      <c r="I45" s="181"/>
      <c r="J45" s="181"/>
      <c r="K45" s="181"/>
      <c r="L45" s="1"/>
      <c r="M45" s="36"/>
      <c r="N45" s="184"/>
      <c r="O45" s="185"/>
      <c r="P45" s="184"/>
      <c r="Q45" s="1"/>
      <c r="R45" s="36"/>
      <c r="S45" s="36"/>
      <c r="T45" s="36"/>
      <c r="U45" s="36"/>
      <c r="V45" s="36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</row>
    <row r="46">
      <c r="A46" s="1"/>
      <c r="E46" s="1"/>
      <c r="F46" s="181"/>
      <c r="G46" s="181"/>
      <c r="H46" s="181"/>
      <c r="I46" s="181"/>
      <c r="J46" s="181"/>
      <c r="K46" s="181"/>
      <c r="L46" s="1"/>
      <c r="M46" s="36"/>
      <c r="N46" s="184"/>
      <c r="O46" s="185"/>
      <c r="P46" s="184"/>
      <c r="Q46" s="1"/>
      <c r="R46" s="36"/>
      <c r="S46" s="36"/>
      <c r="T46" s="36"/>
      <c r="U46" s="36"/>
      <c r="V46" s="36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</row>
    <row r="47">
      <c r="A47" s="1"/>
      <c r="E47" s="1"/>
      <c r="F47" s="181"/>
      <c r="G47" s="181"/>
      <c r="H47" s="181"/>
      <c r="I47" s="181"/>
      <c r="J47" s="181"/>
      <c r="K47" s="181"/>
      <c r="L47" s="1"/>
      <c r="M47" s="36"/>
      <c r="N47" s="184"/>
      <c r="O47" s="184"/>
      <c r="P47" s="184"/>
      <c r="Q47" s="1"/>
      <c r="R47" s="36"/>
      <c r="S47" s="36"/>
      <c r="T47" s="36"/>
      <c r="U47" s="36"/>
      <c r="V47" s="36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</row>
    <row r="48">
      <c r="A48" s="1"/>
      <c r="E48" s="1"/>
      <c r="F48" s="181"/>
      <c r="G48" s="181"/>
      <c r="H48" s="181"/>
      <c r="I48" s="181"/>
      <c r="J48" s="181"/>
      <c r="K48" s="181"/>
      <c r="L48" s="1"/>
      <c r="M48" s="36"/>
      <c r="N48" s="184"/>
      <c r="O48" s="184"/>
      <c r="P48" s="184"/>
      <c r="Q48" s="1"/>
      <c r="R48" s="36"/>
      <c r="S48" s="36"/>
      <c r="T48" s="36"/>
      <c r="U48" s="36"/>
      <c r="V48" s="36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</row>
    <row r="49">
      <c r="A49" s="1"/>
      <c r="E49" s="1"/>
      <c r="F49" s="181"/>
      <c r="G49" s="181"/>
      <c r="H49" s="181"/>
      <c r="I49" s="181"/>
      <c r="J49" s="181"/>
      <c r="K49" s="181"/>
      <c r="L49" s="1"/>
      <c r="M49" s="36"/>
      <c r="N49" s="184"/>
      <c r="O49" s="184"/>
      <c r="P49" s="184"/>
      <c r="Q49" s="1"/>
      <c r="R49" s="36"/>
      <c r="S49" s="36"/>
      <c r="T49" s="36"/>
      <c r="U49" s="36"/>
      <c r="V49" s="36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</row>
    <row r="50">
      <c r="A50" s="1"/>
      <c r="E50" s="1"/>
      <c r="F50" s="181"/>
      <c r="G50" s="181"/>
      <c r="H50" s="181"/>
      <c r="I50" s="181"/>
      <c r="J50" s="181"/>
      <c r="K50" s="181"/>
      <c r="M50" s="36"/>
      <c r="N50" s="184"/>
      <c r="O50" s="184"/>
      <c r="P50" s="184"/>
      <c r="R50" s="36"/>
      <c r="S50" s="36"/>
      <c r="T50" s="36"/>
      <c r="U50" s="36"/>
      <c r="V50" s="36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</row>
    <row r="51">
      <c r="A51" s="1"/>
      <c r="E51" s="1"/>
      <c r="F51" s="181"/>
      <c r="G51" s="181"/>
      <c r="H51" s="181"/>
      <c r="I51" s="181"/>
      <c r="J51" s="181"/>
      <c r="K51" s="181"/>
      <c r="M51" s="36"/>
      <c r="N51" s="184"/>
      <c r="O51" s="184"/>
      <c r="P51" s="184"/>
      <c r="R51" s="36"/>
      <c r="S51" s="36"/>
      <c r="T51" s="36"/>
      <c r="U51" s="36"/>
      <c r="V51" s="36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</row>
    <row r="52">
      <c r="A52" s="1"/>
      <c r="E52" s="1"/>
      <c r="F52" s="181"/>
      <c r="G52" s="181"/>
      <c r="H52" s="181"/>
      <c r="I52" s="181"/>
      <c r="J52" s="181"/>
      <c r="K52" s="181"/>
      <c r="M52" s="36"/>
      <c r="N52" s="184"/>
      <c r="O52" s="184"/>
      <c r="P52" s="184"/>
      <c r="R52" s="36"/>
      <c r="S52" s="36"/>
      <c r="T52" s="36"/>
      <c r="U52" s="36"/>
      <c r="V52" s="36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</row>
    <row r="53">
      <c r="A53" s="1"/>
      <c r="E53" s="1"/>
      <c r="F53" s="181"/>
      <c r="G53" s="181"/>
      <c r="H53" s="181"/>
      <c r="I53" s="181"/>
      <c r="J53" s="181"/>
      <c r="K53" s="181"/>
      <c r="M53" s="36"/>
      <c r="N53" s="184"/>
      <c r="O53" s="184"/>
      <c r="P53" s="184"/>
      <c r="R53" s="36"/>
      <c r="S53" s="36"/>
      <c r="T53" s="36"/>
      <c r="U53" s="36"/>
      <c r="V53" s="36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</row>
    <row r="54">
      <c r="A54" s="1"/>
      <c r="E54" s="1"/>
      <c r="F54" s="181"/>
      <c r="G54" s="181"/>
      <c r="H54" s="181"/>
      <c r="I54" s="181"/>
      <c r="J54" s="181"/>
      <c r="K54" s="181"/>
      <c r="M54" s="36"/>
      <c r="N54" s="184"/>
      <c r="O54" s="184"/>
      <c r="P54" s="184"/>
      <c r="R54" s="36"/>
      <c r="S54" s="36"/>
      <c r="T54" s="36"/>
      <c r="U54" s="36"/>
      <c r="V54" s="36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</row>
    <row r="55">
      <c r="A55" s="1"/>
      <c r="E55" s="1"/>
      <c r="F55" s="181"/>
      <c r="G55" s="181"/>
      <c r="H55" s="181"/>
      <c r="I55" s="181"/>
      <c r="J55" s="181"/>
      <c r="K55" s="181"/>
      <c r="M55" s="36"/>
      <c r="N55" s="184"/>
      <c r="O55" s="184"/>
      <c r="P55" s="184"/>
      <c r="R55" s="36"/>
      <c r="S55" s="36"/>
      <c r="T55" s="36"/>
      <c r="U55" s="36"/>
      <c r="V55" s="36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</row>
    <row r="56">
      <c r="A56" s="1"/>
      <c r="E56" s="1"/>
      <c r="F56" s="181"/>
      <c r="G56" s="181"/>
      <c r="H56" s="181"/>
      <c r="I56" s="181"/>
      <c r="J56" s="181"/>
      <c r="K56" s="181"/>
      <c r="M56" s="36"/>
      <c r="N56" s="184"/>
      <c r="O56" s="184"/>
      <c r="P56" s="184"/>
      <c r="R56" s="36"/>
      <c r="S56" s="36"/>
      <c r="T56" s="36"/>
      <c r="U56" s="36"/>
      <c r="V56" s="36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</row>
    <row r="57">
      <c r="A57" s="1"/>
      <c r="E57" s="1"/>
      <c r="F57" s="181"/>
      <c r="G57" s="181"/>
      <c r="H57" s="181"/>
      <c r="I57" s="181"/>
      <c r="J57" s="181"/>
      <c r="K57" s="181"/>
      <c r="M57" s="36"/>
      <c r="N57" s="184"/>
      <c r="O57" s="184"/>
      <c r="P57" s="184"/>
      <c r="R57" s="36"/>
      <c r="S57" s="36"/>
      <c r="T57" s="36"/>
      <c r="U57" s="36"/>
      <c r="V57" s="36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</row>
    <row r="58">
      <c r="A58" s="1"/>
      <c r="B58" s="1"/>
      <c r="C58" s="1"/>
      <c r="D58" s="1"/>
      <c r="E58" s="1"/>
      <c r="F58" s="181"/>
      <c r="G58" s="181"/>
      <c r="H58" s="181"/>
      <c r="I58" s="181"/>
      <c r="J58" s="181"/>
      <c r="K58" s="181"/>
      <c r="M58" s="36"/>
      <c r="N58" s="184"/>
      <c r="O58" s="184"/>
      <c r="P58" s="184"/>
      <c r="R58" s="36"/>
      <c r="S58" s="36"/>
      <c r="T58" s="36"/>
      <c r="U58" s="36"/>
      <c r="V58" s="36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</row>
    <row r="59">
      <c r="A59" s="1"/>
      <c r="B59" s="47"/>
      <c r="C59" s="186"/>
      <c r="D59" s="186"/>
      <c r="E59" s="1"/>
      <c r="F59" s="181"/>
      <c r="G59" s="181"/>
      <c r="H59" s="181"/>
      <c r="I59" s="181"/>
      <c r="J59" s="181"/>
      <c r="K59" s="181"/>
      <c r="M59" s="36"/>
      <c r="N59" s="184"/>
      <c r="O59" s="184"/>
      <c r="P59" s="184"/>
      <c r="R59" s="36"/>
      <c r="S59" s="36"/>
      <c r="T59" s="36"/>
      <c r="U59" s="36"/>
      <c r="V59" s="36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</row>
    <row r="60">
      <c r="A60" s="1"/>
      <c r="B60" s="47"/>
      <c r="C60" s="186"/>
      <c r="D60" s="186"/>
      <c r="E60" s="1"/>
      <c r="F60" s="181"/>
      <c r="G60" s="181"/>
      <c r="H60" s="181"/>
      <c r="I60" s="181"/>
      <c r="J60" s="181"/>
      <c r="K60" s="181"/>
      <c r="M60" s="36"/>
      <c r="N60" s="184"/>
      <c r="O60" s="184"/>
      <c r="P60" s="184"/>
      <c r="R60" s="36"/>
      <c r="S60" s="36"/>
      <c r="T60" s="36"/>
      <c r="U60" s="36"/>
      <c r="V60" s="36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</row>
    <row r="61">
      <c r="A61" s="1"/>
      <c r="B61" s="47"/>
      <c r="C61" s="186"/>
      <c r="D61" s="186"/>
      <c r="E61" s="1"/>
      <c r="F61" s="181"/>
      <c r="G61" s="181"/>
      <c r="H61" s="181"/>
      <c r="I61" s="181"/>
      <c r="J61" s="181"/>
      <c r="K61" s="181"/>
      <c r="M61" s="36"/>
      <c r="N61" s="184"/>
      <c r="O61" s="184"/>
      <c r="P61" s="184"/>
      <c r="R61" s="36"/>
      <c r="S61" s="36"/>
      <c r="T61" s="36"/>
      <c r="U61" s="36"/>
      <c r="V61" s="36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</row>
    <row r="62">
      <c r="A62" s="1"/>
      <c r="B62" s="47"/>
      <c r="C62" s="186"/>
      <c r="D62" s="186"/>
      <c r="E62" s="1"/>
      <c r="F62" s="181"/>
      <c r="G62" s="181"/>
      <c r="H62" s="181"/>
      <c r="I62" s="181"/>
      <c r="J62" s="181"/>
      <c r="K62" s="181"/>
      <c r="M62" s="36"/>
      <c r="N62" s="184"/>
      <c r="O62" s="184"/>
      <c r="P62" s="184"/>
      <c r="R62" s="36"/>
      <c r="S62" s="36"/>
      <c r="T62" s="36"/>
      <c r="U62" s="36"/>
      <c r="V62" s="36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</row>
    <row r="63">
      <c r="A63" s="1"/>
      <c r="E63" s="1"/>
      <c r="L63" s="1"/>
      <c r="M63" s="151"/>
      <c r="N63" s="151"/>
      <c r="O63" s="151"/>
      <c r="P63" s="151"/>
      <c r="Q63" s="1"/>
      <c r="R63" s="36"/>
      <c r="S63" s="36"/>
      <c r="T63" s="36"/>
      <c r="U63" s="36"/>
      <c r="V63" s="36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</row>
    <row r="64">
      <c r="A64" s="1"/>
      <c r="E64" s="1"/>
      <c r="F64" s="1"/>
      <c r="G64" s="1"/>
      <c r="I64" s="1"/>
      <c r="J64" s="1"/>
      <c r="K64" s="1"/>
      <c r="L64" s="1"/>
      <c r="M64" s="36"/>
      <c r="N64" s="36"/>
      <c r="O64" s="36"/>
      <c r="P64" s="36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</row>
    <row r="65">
      <c r="A65" s="1"/>
      <c r="B65" s="1"/>
      <c r="C65" s="1"/>
      <c r="D65" s="1"/>
      <c r="E65" s="1"/>
      <c r="F65" s="1"/>
      <c r="G65" s="1"/>
      <c r="I65" s="1"/>
      <c r="J65" s="1"/>
      <c r="K65" s="1"/>
      <c r="L65" s="1"/>
      <c r="M65" s="36"/>
      <c r="N65" s="36"/>
      <c r="O65" s="36"/>
      <c r="P65" s="36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</row>
    <row r="66">
      <c r="A66" s="1"/>
      <c r="B66" s="1"/>
      <c r="C66" s="1"/>
      <c r="D66" s="1"/>
      <c r="E66" s="1"/>
      <c r="F66" s="1"/>
      <c r="G66" s="1"/>
      <c r="I66" s="1"/>
      <c r="J66" s="1"/>
      <c r="K66" s="1"/>
      <c r="L66" s="1"/>
      <c r="M66" s="36"/>
      <c r="N66" s="36"/>
      <c r="O66" s="36"/>
      <c r="P66" s="36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</row>
    <row r="67">
      <c r="A67" s="1"/>
      <c r="B67" s="1"/>
      <c r="C67" s="1"/>
      <c r="D67" s="1"/>
      <c r="E67" s="1"/>
      <c r="F67" s="1"/>
      <c r="G67" s="1"/>
      <c r="I67" s="1"/>
      <c r="J67" s="1"/>
      <c r="K67" s="1"/>
      <c r="L67" s="1"/>
      <c r="M67" s="151"/>
      <c r="N67" s="151"/>
      <c r="O67" s="151"/>
      <c r="P67" s="36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</row>
    <row r="68">
      <c r="A68" s="1"/>
      <c r="B68" s="1"/>
      <c r="C68" s="1"/>
      <c r="D68" s="1"/>
      <c r="E68" s="1"/>
      <c r="F68" s="1"/>
      <c r="G68" s="1"/>
      <c r="I68" s="1"/>
      <c r="J68" s="1"/>
      <c r="K68" s="1"/>
      <c r="L68" s="1"/>
      <c r="M68" s="151"/>
      <c r="N68" s="151"/>
      <c r="O68" s="151"/>
      <c r="P68" s="36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</row>
    <row r="69">
      <c r="A69" s="1"/>
      <c r="B69" s="1"/>
      <c r="C69" s="1"/>
      <c r="D69" s="1"/>
      <c r="E69" s="1"/>
      <c r="F69" s="1"/>
      <c r="G69" s="1"/>
      <c r="I69" s="1"/>
      <c r="J69" s="1"/>
      <c r="K69" s="1"/>
      <c r="L69" s="1"/>
      <c r="M69" s="151"/>
      <c r="N69" s="151"/>
      <c r="O69" s="151"/>
      <c r="P69" s="36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</row>
    <row r="70">
      <c r="A70" s="155"/>
      <c r="B70" s="155"/>
      <c r="C70" s="155"/>
      <c r="D70" s="155"/>
      <c r="E70" s="1"/>
      <c r="F70" s="1"/>
      <c r="G70" s="1"/>
      <c r="I70" s="1"/>
      <c r="J70" s="1"/>
      <c r="K70" s="1"/>
      <c r="L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</row>
    <row r="71">
      <c r="A71" s="155"/>
      <c r="B71" s="155"/>
      <c r="C71" s="155"/>
      <c r="D71" s="155"/>
      <c r="E71" s="1"/>
      <c r="F71" s="1"/>
      <c r="G71" s="1"/>
      <c r="H71" s="1"/>
      <c r="I71" s="1"/>
      <c r="J71" s="1"/>
      <c r="K71" s="1"/>
      <c r="L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</row>
    <row r="72">
      <c r="A72" s="155"/>
      <c r="B72" s="155"/>
      <c r="C72" s="155"/>
      <c r="D72" s="155"/>
      <c r="E72" s="1"/>
      <c r="F72" s="1"/>
      <c r="G72" s="1"/>
      <c r="H72" s="1"/>
      <c r="I72" s="1"/>
      <c r="J72" s="1"/>
      <c r="K72" s="1"/>
      <c r="L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</row>
    <row r="73">
      <c r="A73" s="155"/>
      <c r="B73" s="155"/>
      <c r="C73" s="155"/>
      <c r="D73" s="155"/>
      <c r="E73" s="1"/>
      <c r="F73" s="1"/>
      <c r="G73" s="1"/>
      <c r="H73" s="1"/>
      <c r="I73" s="1"/>
      <c r="J73" s="1"/>
      <c r="K73" s="1"/>
      <c r="L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</row>
    <row r="74">
      <c r="A74" s="155"/>
      <c r="B74" s="155"/>
      <c r="C74" s="155"/>
      <c r="D74" s="155"/>
      <c r="E74" s="1"/>
      <c r="F74" s="1"/>
      <c r="G74" s="1"/>
      <c r="H74" s="1"/>
      <c r="I74" s="1"/>
      <c r="J74" s="1"/>
      <c r="K74" s="1"/>
      <c r="L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</row>
    <row r="75">
      <c r="A75" s="155"/>
      <c r="B75" s="155"/>
      <c r="C75" s="155"/>
      <c r="D75" s="155"/>
      <c r="E75" s="1"/>
      <c r="F75" s="1"/>
      <c r="G75" s="1"/>
      <c r="H75" s="1"/>
      <c r="I75" s="1"/>
      <c r="J75" s="1"/>
      <c r="K75" s="1"/>
      <c r="L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</row>
    <row r="76">
      <c r="A76" s="155"/>
      <c r="B76" s="155"/>
      <c r="C76" s="155"/>
      <c r="D76" s="155"/>
      <c r="E76" s="1"/>
      <c r="F76" s="1"/>
      <c r="G76" s="1"/>
      <c r="H76" s="1"/>
      <c r="I76" s="1"/>
      <c r="J76" s="1"/>
      <c r="K76" s="1"/>
      <c r="L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</row>
    <row r="77">
      <c r="A77" s="155"/>
      <c r="B77" s="155"/>
      <c r="C77" s="155"/>
      <c r="D77" s="155"/>
      <c r="E77" s="1"/>
      <c r="F77" s="1"/>
      <c r="G77" s="1"/>
      <c r="H77" s="1"/>
      <c r="I77" s="1"/>
      <c r="J77" s="1"/>
      <c r="K77" s="1"/>
      <c r="L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</row>
    <row r="78">
      <c r="A78" s="155"/>
      <c r="B78" s="155"/>
      <c r="C78" s="155"/>
      <c r="D78" s="155"/>
      <c r="E78" s="1"/>
      <c r="F78" s="1"/>
      <c r="G78" s="1"/>
      <c r="H78" s="1"/>
      <c r="I78" s="1"/>
      <c r="J78" s="1"/>
      <c r="K78" s="1"/>
      <c r="L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</row>
    <row r="79">
      <c r="A79" s="155"/>
      <c r="B79" s="155"/>
      <c r="C79" s="155"/>
      <c r="D79" s="155"/>
      <c r="E79" s="1"/>
      <c r="F79" s="1"/>
      <c r="G79" s="1"/>
      <c r="H79" s="1"/>
      <c r="I79" s="1"/>
      <c r="J79" s="1"/>
      <c r="K79" s="1"/>
      <c r="L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</row>
    <row r="93">
      <c r="A93" s="1"/>
      <c r="B93" s="1"/>
      <c r="C93" s="1"/>
      <c r="D93" s="47"/>
      <c r="E93" s="1"/>
      <c r="F93" s="1"/>
      <c r="G93" s="1"/>
      <c r="H93" s="1"/>
      <c r="I93" s="1"/>
      <c r="J93" s="1"/>
      <c r="K93" s="1"/>
      <c r="L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</row>
    <row r="111">
      <c r="A111" s="1"/>
      <c r="B111" s="1"/>
      <c r="C111" s="1"/>
      <c r="D111" s="47"/>
      <c r="E111" s="186"/>
      <c r="F111" s="186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</row>
    <row r="112">
      <c r="A112" s="1"/>
      <c r="B112" s="1"/>
      <c r="C112" s="1"/>
      <c r="D112" s="47"/>
      <c r="E112" s="186"/>
      <c r="F112" s="186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</row>
    <row r="113">
      <c r="A113" s="1"/>
      <c r="B113" s="1"/>
      <c r="C113" s="1"/>
      <c r="D113" s="47"/>
      <c r="E113" s="186"/>
      <c r="F113" s="186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</row>
  </sheetData>
  <mergeCells count="22">
    <mergeCell ref="B4:D5"/>
    <mergeCell ref="I4:L6"/>
    <mergeCell ref="M4:P6"/>
    <mergeCell ref="Q4:T6"/>
    <mergeCell ref="U4:V6"/>
    <mergeCell ref="C6:D6"/>
    <mergeCell ref="C7:D7"/>
    <mergeCell ref="C9:D9"/>
    <mergeCell ref="B11:D12"/>
    <mergeCell ref="AC13:AC14"/>
    <mergeCell ref="B21:D22"/>
    <mergeCell ref="F21:I22"/>
    <mergeCell ref="K21:N22"/>
    <mergeCell ref="P21:R22"/>
    <mergeCell ref="T21:V22"/>
    <mergeCell ref="F4:H6"/>
    <mergeCell ref="F7:H9"/>
    <mergeCell ref="I7:L9"/>
    <mergeCell ref="M7:P9"/>
    <mergeCell ref="Q7:T9"/>
    <mergeCell ref="U7:V9"/>
    <mergeCell ref="C8:D8"/>
  </mergeCells>
  <conditionalFormatting sqref="I24:I35">
    <cfRule type="cellIs" dxfId="0" priority="1" operator="greaterThan">
      <formula>0</formula>
    </cfRule>
  </conditionalFormatting>
  <conditionalFormatting sqref="I24:I35">
    <cfRule type="cellIs" dxfId="1" priority="2" operator="lessThan">
      <formula>0</formula>
    </cfRule>
  </conditionalFormatting>
  <conditionalFormatting sqref="N24:N35 P37:P62">
    <cfRule type="cellIs" dxfId="0" priority="3" operator="greaterThan">
      <formula>0</formula>
    </cfRule>
  </conditionalFormatting>
  <conditionalFormatting sqref="N24:N35 P37:P62">
    <cfRule type="cellIs" dxfId="1" priority="4" operator="lessThan">
      <formula>0</formula>
    </cfRule>
  </conditionalFormatting>
  <conditionalFormatting sqref="N24:N35 P37:P62">
    <cfRule type="cellIs" dxfId="2" priority="5" operator="equal">
      <formula>0</formula>
    </cfRule>
  </conditionalFormatting>
  <conditionalFormatting sqref="I24:I35">
    <cfRule type="cellIs" dxfId="2" priority="6" operator="equal">
      <formula>0</formula>
    </cfRule>
  </conditionalFormatting>
  <conditionalFormatting sqref="I36">
    <cfRule type="cellIs" dxfId="3" priority="7" operator="greaterThan">
      <formula>0</formula>
    </cfRule>
  </conditionalFormatting>
  <conditionalFormatting sqref="I36">
    <cfRule type="cellIs" dxfId="4" priority="8" operator="lessThan">
      <formula>0</formula>
    </cfRule>
  </conditionalFormatting>
  <conditionalFormatting sqref="N36">
    <cfRule type="cellIs" dxfId="3" priority="9" operator="greaterThan">
      <formula>0</formula>
    </cfRule>
  </conditionalFormatting>
  <conditionalFormatting sqref="I36">
    <cfRule type="cellIs" dxfId="5" priority="10" operator="equal">
      <formula>0</formula>
    </cfRule>
  </conditionalFormatting>
  <dataValidations>
    <dataValidation type="list" allowBlank="1" showErrorMessage="1" sqref="C8">
      <formula1>"$,£,€,¥,₽,₩,R$"</formula1>
    </dataValidation>
    <dataValidation type="custom" allowBlank="1" showDropDown="1" sqref="C7">
      <formula1>OR(NOT(ISERROR(DATEVALUE(C7))), AND(ISNUMBER(C7), LEFT(CELL("format", C7))="D"))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15.0"/>
    <col customWidth="1" min="5" max="5" width="1.38"/>
    <col customWidth="1" min="6" max="6" width="3.38"/>
    <col customWidth="1" min="7" max="7" width="15.5"/>
    <col customWidth="1" min="8" max="8" width="7.0"/>
    <col customWidth="1" min="12" max="12" width="2.63"/>
    <col customWidth="1" min="13" max="13" width="15.13"/>
    <col customWidth="1" min="17" max="17" width="2.63"/>
    <col customWidth="1" min="18" max="18" width="3.13"/>
    <col customWidth="1" min="19" max="19" width="13.25"/>
    <col customWidth="1" min="20" max="20" width="5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40.5" customHeight="1">
      <c r="A2" s="1"/>
      <c r="B2" s="1"/>
      <c r="C2" s="2" t="s">
        <v>86</v>
      </c>
      <c r="D2" s="1"/>
      <c r="E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ht="5.25" customHeight="1">
      <c r="A3" s="1"/>
      <c r="B3" s="1"/>
      <c r="C3" s="1"/>
      <c r="D3" s="1"/>
      <c r="E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>
      <c r="A4" s="1"/>
      <c r="B4" s="3" t="s">
        <v>1</v>
      </c>
      <c r="C4" s="4"/>
      <c r="D4" s="5"/>
      <c r="E4" s="1"/>
      <c r="F4" s="6" t="s">
        <v>2</v>
      </c>
      <c r="G4" s="4"/>
      <c r="H4" s="4"/>
      <c r="I4" s="4"/>
      <c r="J4" s="7" t="s">
        <v>3</v>
      </c>
      <c r="K4" s="4"/>
      <c r="L4" s="4"/>
      <c r="M4" s="4"/>
      <c r="N4" s="7" t="s">
        <v>4</v>
      </c>
      <c r="O4" s="4"/>
      <c r="P4" s="4"/>
      <c r="Q4" s="8" t="s">
        <v>5</v>
      </c>
      <c r="R4" s="4"/>
      <c r="S4" s="4"/>
      <c r="T4" s="4"/>
      <c r="U4" s="7" t="s">
        <v>6</v>
      </c>
      <c r="V4" s="5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>
      <c r="A5" s="1"/>
      <c r="B5" s="9"/>
      <c r="C5" s="10"/>
      <c r="D5" s="11"/>
      <c r="E5" s="1"/>
      <c r="F5" s="12"/>
      <c r="V5" s="13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>
      <c r="A6" s="1"/>
      <c r="B6" s="15" t="s">
        <v>7</v>
      </c>
      <c r="C6" s="16">
        <v>45658.0</v>
      </c>
      <c r="D6" s="17"/>
      <c r="E6" s="1"/>
      <c r="F6" s="12"/>
      <c r="V6" s="13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>
      <c r="A7" s="1"/>
      <c r="B7" s="15" t="s">
        <v>8</v>
      </c>
      <c r="C7" s="16">
        <v>45688.0</v>
      </c>
      <c r="D7" s="17"/>
      <c r="E7" s="1"/>
      <c r="F7" s="18">
        <f>D15</f>
        <v>0</v>
      </c>
      <c r="J7" s="19">
        <f>D19</f>
        <v>0</v>
      </c>
      <c r="N7" s="20">
        <f>D17</f>
        <v>0</v>
      </c>
      <c r="Q7" s="19">
        <f>D18</f>
        <v>0</v>
      </c>
      <c r="U7" s="19">
        <f>D16</f>
        <v>0</v>
      </c>
      <c r="V7" s="13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>
      <c r="A8" s="1"/>
      <c r="B8" s="15" t="s">
        <v>9</v>
      </c>
      <c r="C8" s="21" t="s">
        <v>10</v>
      </c>
      <c r="D8" s="17"/>
      <c r="E8" s="1"/>
      <c r="F8" s="12"/>
      <c r="V8" s="13"/>
      <c r="W8" s="1"/>
      <c r="X8" s="1"/>
      <c r="Y8" s="1"/>
      <c r="AA8" s="1"/>
      <c r="AB8" s="1"/>
      <c r="AC8" s="1"/>
      <c r="AD8" s="1"/>
      <c r="AE8" s="1"/>
      <c r="AF8" s="1"/>
      <c r="AG8" s="1"/>
    </row>
    <row r="9">
      <c r="A9" s="1"/>
      <c r="B9" s="22" t="s">
        <v>11</v>
      </c>
      <c r="C9" s="23"/>
      <c r="D9" s="24"/>
      <c r="E9" s="1"/>
      <c r="F9" s="25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7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>
      <c r="A10" s="1"/>
      <c r="B10" s="28" t="s">
        <v>12</v>
      </c>
      <c r="C10" s="29">
        <f>D16+D17+D18</f>
        <v>0</v>
      </c>
      <c r="D10" s="29">
        <f>D19</f>
        <v>0</v>
      </c>
      <c r="E10" s="1"/>
      <c r="W10" s="1"/>
      <c r="X10" s="1"/>
      <c r="Y10" s="1"/>
      <c r="Z10" s="1"/>
      <c r="AA10" s="1"/>
      <c r="AB10" s="1"/>
      <c r="AC10" s="30"/>
      <c r="AD10" s="30"/>
      <c r="AE10" s="30"/>
      <c r="AF10" s="30"/>
      <c r="AG10" s="1"/>
    </row>
    <row r="11">
      <c r="A11" s="1"/>
      <c r="B11" s="31" t="s">
        <v>13</v>
      </c>
      <c r="C11" s="4"/>
      <c r="D11" s="5"/>
      <c r="E11" s="1"/>
      <c r="F11" s="32"/>
      <c r="G11" s="33"/>
      <c r="H11" s="33"/>
      <c r="I11" s="33"/>
      <c r="J11" s="33"/>
      <c r="K11" s="34"/>
      <c r="M11" s="32"/>
      <c r="N11" s="33"/>
      <c r="O11" s="33"/>
      <c r="P11" s="34"/>
      <c r="R11" s="32"/>
      <c r="S11" s="33"/>
      <c r="T11" s="33"/>
      <c r="U11" s="33"/>
      <c r="V11" s="34"/>
      <c r="W11" s="1"/>
      <c r="X11" s="1"/>
      <c r="Y11" s="1"/>
      <c r="Z11" s="1"/>
      <c r="AA11" s="1"/>
      <c r="AB11" s="1"/>
      <c r="AC11" s="30"/>
      <c r="AD11" s="30"/>
      <c r="AE11" s="30"/>
      <c r="AF11" s="30"/>
      <c r="AG11" s="1"/>
    </row>
    <row r="12">
      <c r="A12" s="1"/>
      <c r="B12" s="12"/>
      <c r="D12" s="13"/>
      <c r="E12" s="1"/>
      <c r="F12" s="35"/>
      <c r="G12" s="36"/>
      <c r="H12" s="36"/>
      <c r="I12" s="36"/>
      <c r="J12" s="36"/>
      <c r="K12" s="37"/>
      <c r="L12" s="1"/>
      <c r="M12" s="38"/>
      <c r="N12" s="1"/>
      <c r="O12" s="1"/>
      <c r="P12" s="39"/>
      <c r="Q12" s="1"/>
      <c r="R12" s="38"/>
      <c r="S12" s="1"/>
      <c r="T12" s="1"/>
      <c r="U12" s="1"/>
      <c r="V12" s="39"/>
      <c r="W12" s="1"/>
      <c r="X12" s="1"/>
      <c r="Y12" s="1"/>
      <c r="Z12" s="1"/>
      <c r="AA12" s="1"/>
      <c r="AB12" s="1"/>
      <c r="AC12" s="30"/>
      <c r="AD12" s="28" t="s">
        <v>14</v>
      </c>
      <c r="AE12" s="29">
        <f>V49</f>
        <v>0</v>
      </c>
      <c r="AF12" s="30"/>
      <c r="AG12" s="1"/>
    </row>
    <row r="13">
      <c r="A13" s="1"/>
      <c r="B13" s="40"/>
      <c r="C13" s="41" t="s">
        <v>15</v>
      </c>
      <c r="D13" s="42" t="s">
        <v>16</v>
      </c>
      <c r="E13" s="1"/>
      <c r="F13" s="43"/>
      <c r="G13" s="36"/>
      <c r="H13" s="36"/>
      <c r="I13" s="36"/>
      <c r="J13" s="36"/>
      <c r="K13" s="37"/>
      <c r="L13" s="1"/>
      <c r="M13" s="38"/>
      <c r="N13" s="1"/>
      <c r="O13" s="1"/>
      <c r="P13" s="39"/>
      <c r="Q13" s="1"/>
      <c r="R13" s="38"/>
      <c r="S13" s="1"/>
      <c r="T13" s="1"/>
      <c r="U13" s="1"/>
      <c r="V13" s="39"/>
      <c r="W13" s="1"/>
      <c r="X13" s="1"/>
      <c r="Y13" s="1"/>
      <c r="Z13" s="1"/>
      <c r="AA13" s="1"/>
      <c r="AB13" s="1"/>
      <c r="AC13" s="30"/>
      <c r="AD13" s="28" t="s">
        <v>17</v>
      </c>
      <c r="AE13" s="29">
        <f>J63</f>
        <v>0</v>
      </c>
      <c r="AF13" s="30"/>
      <c r="AG13" s="1"/>
    </row>
    <row r="14">
      <c r="A14" s="1"/>
      <c r="B14" s="44" t="s">
        <v>11</v>
      </c>
      <c r="C14" s="45" t="str">
        <f>C9</f>
        <v/>
      </c>
      <c r="D14" s="46" t="str">
        <f>C9</f>
        <v/>
      </c>
      <c r="E14" s="47" t="s">
        <v>18</v>
      </c>
      <c r="F14" s="43"/>
      <c r="G14" s="36"/>
      <c r="H14" s="36"/>
      <c r="I14" s="36"/>
      <c r="J14" s="36"/>
      <c r="K14" s="37"/>
      <c r="L14" s="1"/>
      <c r="M14" s="38"/>
      <c r="N14" s="1"/>
      <c r="O14" s="1"/>
      <c r="P14" s="39"/>
      <c r="Q14" s="1"/>
      <c r="R14" s="38"/>
      <c r="S14" s="1"/>
      <c r="T14" s="1"/>
      <c r="U14" s="1"/>
      <c r="V14" s="39"/>
      <c r="W14" s="1"/>
      <c r="X14" s="1"/>
      <c r="Y14" s="1"/>
      <c r="Z14" s="1"/>
      <c r="AA14" s="1"/>
      <c r="AB14" s="1"/>
      <c r="AC14" s="30"/>
      <c r="AD14" s="28" t="s">
        <v>19</v>
      </c>
      <c r="AE14" s="48">
        <f>O63</f>
        <v>0</v>
      </c>
      <c r="AF14" s="30"/>
      <c r="AG14" s="1"/>
    </row>
    <row r="15">
      <c r="A15" s="1"/>
      <c r="B15" s="15" t="s">
        <v>20</v>
      </c>
      <c r="C15" s="49">
        <f t="shared" ref="C15:D15" si="1">C29+C39</f>
        <v>0</v>
      </c>
      <c r="D15" s="50">
        <f t="shared" si="1"/>
        <v>0</v>
      </c>
      <c r="E15" s="1"/>
      <c r="F15" s="43"/>
      <c r="G15" s="51"/>
      <c r="H15" s="51"/>
      <c r="I15" s="52">
        <f>D19</f>
        <v>0</v>
      </c>
      <c r="J15" s="51"/>
      <c r="K15" s="37"/>
      <c r="L15" s="1"/>
      <c r="M15" s="38"/>
      <c r="N15" s="1"/>
      <c r="O15" s="1"/>
      <c r="P15" s="39"/>
      <c r="Q15" s="1"/>
      <c r="R15" s="38"/>
      <c r="S15" s="1"/>
      <c r="T15" s="1"/>
      <c r="U15" s="1"/>
      <c r="V15" s="39"/>
      <c r="W15" s="1"/>
      <c r="X15" s="1"/>
      <c r="Y15" s="1"/>
      <c r="Z15" s="1"/>
      <c r="AA15" s="1"/>
      <c r="AB15" s="1"/>
      <c r="AC15" s="30"/>
      <c r="AD15" s="28" t="s">
        <v>21</v>
      </c>
      <c r="AE15" s="29">
        <f>D63</f>
        <v>0</v>
      </c>
      <c r="AF15" s="30"/>
      <c r="AG15" s="1"/>
    </row>
    <row r="16">
      <c r="A16" s="1"/>
      <c r="B16" s="15" t="s">
        <v>6</v>
      </c>
      <c r="C16" s="49">
        <f t="shared" ref="C16:D16" si="2">C63</f>
        <v>0</v>
      </c>
      <c r="D16" s="50">
        <f t="shared" si="2"/>
        <v>0</v>
      </c>
      <c r="E16" s="1"/>
      <c r="F16" s="43"/>
      <c r="G16" s="51"/>
      <c r="H16" s="51"/>
      <c r="J16" s="51"/>
      <c r="K16" s="37"/>
      <c r="L16" s="1"/>
      <c r="M16" s="38"/>
      <c r="N16" s="1"/>
      <c r="O16" s="1"/>
      <c r="P16" s="39"/>
      <c r="Q16" s="1"/>
      <c r="R16" s="38"/>
      <c r="S16" s="1"/>
      <c r="T16" s="1"/>
      <c r="U16" s="1"/>
      <c r="V16" s="39"/>
      <c r="W16" s="1"/>
      <c r="X16" s="1"/>
      <c r="Y16" s="1"/>
      <c r="Z16" s="1"/>
      <c r="AA16" s="1"/>
      <c r="AB16" s="1"/>
      <c r="AC16" s="30"/>
      <c r="AD16" s="30"/>
      <c r="AE16" s="30"/>
      <c r="AF16" s="30"/>
      <c r="AG16" s="1"/>
    </row>
    <row r="17">
      <c r="A17" s="1"/>
      <c r="B17" s="15" t="s">
        <v>4</v>
      </c>
      <c r="C17" s="49">
        <f t="shared" ref="C17:D17" si="3">I63+N63</f>
        <v>0</v>
      </c>
      <c r="D17" s="50">
        <f t="shared" si="3"/>
        <v>0</v>
      </c>
      <c r="E17" s="1"/>
      <c r="F17" s="43"/>
      <c r="G17" s="36"/>
      <c r="H17" s="36"/>
      <c r="I17" s="36"/>
      <c r="J17" s="36"/>
      <c r="K17" s="37"/>
      <c r="L17" s="1"/>
      <c r="M17" s="38"/>
      <c r="N17" s="1"/>
      <c r="O17" s="1"/>
      <c r="P17" s="39"/>
      <c r="Q17" s="1"/>
      <c r="R17" s="38"/>
      <c r="S17" s="1"/>
      <c r="T17" s="1"/>
      <c r="U17" s="1"/>
      <c r="V17" s="39"/>
      <c r="W17" s="1"/>
      <c r="X17" s="1"/>
      <c r="Y17" s="1"/>
      <c r="Z17" s="1"/>
      <c r="AA17" s="1"/>
      <c r="AB17" s="1"/>
      <c r="AC17" s="30"/>
      <c r="AD17" s="30"/>
      <c r="AE17" s="30"/>
      <c r="AF17" s="30"/>
      <c r="AG17" s="1"/>
    </row>
    <row r="18">
      <c r="A18" s="1"/>
      <c r="B18" s="53" t="s">
        <v>22</v>
      </c>
      <c r="C18" s="54">
        <f t="shared" ref="C18:D18" si="4">U49</f>
        <v>0</v>
      </c>
      <c r="D18" s="55">
        <f t="shared" si="4"/>
        <v>0</v>
      </c>
      <c r="E18" s="1"/>
      <c r="F18" s="43"/>
      <c r="G18" s="36"/>
      <c r="H18" s="36"/>
      <c r="I18" s="36"/>
      <c r="J18" s="36"/>
      <c r="K18" s="37"/>
      <c r="L18" s="1"/>
      <c r="M18" s="38"/>
      <c r="N18" s="1"/>
      <c r="O18" s="1"/>
      <c r="P18" s="39"/>
      <c r="Q18" s="1"/>
      <c r="R18" s="38"/>
      <c r="S18" s="1"/>
      <c r="T18" s="1"/>
      <c r="U18" s="1"/>
      <c r="V18" s="39"/>
      <c r="W18" s="1"/>
      <c r="X18" s="1"/>
      <c r="Y18" s="1"/>
      <c r="Z18" s="1"/>
      <c r="AA18" s="1"/>
      <c r="AB18" s="1"/>
      <c r="AC18" s="30"/>
      <c r="AD18" s="30"/>
      <c r="AE18" s="30"/>
      <c r="AF18" s="30"/>
      <c r="AG18" s="1"/>
    </row>
    <row r="19">
      <c r="A19" s="1"/>
      <c r="B19" s="56" t="s">
        <v>23</v>
      </c>
      <c r="C19" s="57">
        <f>C14+C15-C16-C17-C18</f>
        <v>0</v>
      </c>
      <c r="D19" s="58">
        <f>D14+D15-D17-D18-D16</f>
        <v>0</v>
      </c>
      <c r="E19" s="1"/>
      <c r="F19" s="59"/>
      <c r="G19" s="60"/>
      <c r="H19" s="60"/>
      <c r="I19" s="60"/>
      <c r="J19" s="60"/>
      <c r="K19" s="61"/>
      <c r="L19" s="1"/>
      <c r="M19" s="62"/>
      <c r="N19" s="63"/>
      <c r="O19" s="63"/>
      <c r="P19" s="64"/>
      <c r="Q19" s="1"/>
      <c r="R19" s="62"/>
      <c r="S19" s="63"/>
      <c r="T19" s="63"/>
      <c r="U19" s="63"/>
      <c r="V19" s="64"/>
      <c r="W19" s="1"/>
      <c r="X19" s="1"/>
      <c r="Y19" s="1"/>
      <c r="Z19" s="1"/>
      <c r="AA19" s="1"/>
      <c r="AB19" s="1"/>
      <c r="AC19" s="30"/>
      <c r="AD19" s="30"/>
      <c r="AE19" s="30"/>
      <c r="AF19" s="30"/>
      <c r="AG19" s="1"/>
    </row>
    <row r="20">
      <c r="A20" s="1"/>
      <c r="B20" s="65"/>
      <c r="C20" s="66"/>
      <c r="D20" s="15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30"/>
      <c r="AD20" s="30"/>
      <c r="AE20" s="30"/>
      <c r="AF20" s="30"/>
      <c r="AG20" s="1"/>
    </row>
    <row r="21">
      <c r="A21" s="1"/>
      <c r="B21" s="67" t="s">
        <v>24</v>
      </c>
      <c r="C21" s="4"/>
      <c r="D21" s="5"/>
      <c r="E21" s="1"/>
      <c r="F21" s="68" t="s">
        <v>25</v>
      </c>
      <c r="G21" s="4"/>
      <c r="H21" s="4"/>
      <c r="I21" s="4"/>
      <c r="J21" s="4"/>
      <c r="K21" s="69"/>
      <c r="L21" s="1"/>
      <c r="M21" s="70" t="s">
        <v>26</v>
      </c>
      <c r="N21" s="4"/>
      <c r="O21" s="4"/>
      <c r="P21" s="5"/>
      <c r="Q21" s="1"/>
      <c r="R21" s="71" t="s">
        <v>22</v>
      </c>
      <c r="S21" s="4"/>
      <c r="T21" s="4"/>
      <c r="U21" s="4"/>
      <c r="V21" s="5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>
      <c r="A22" s="1"/>
      <c r="B22" s="12"/>
      <c r="D22" s="13"/>
      <c r="E22" s="1"/>
      <c r="F22" s="25"/>
      <c r="G22" s="26"/>
      <c r="H22" s="26"/>
      <c r="I22" s="26"/>
      <c r="J22" s="26"/>
      <c r="K22" s="72"/>
      <c r="L22" s="1"/>
      <c r="M22" s="12"/>
      <c r="P22" s="13"/>
      <c r="Q22" s="1"/>
      <c r="R22" s="12"/>
      <c r="V22" s="13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>
      <c r="A23" s="1"/>
      <c r="B23" s="73"/>
      <c r="C23" s="74" t="s">
        <v>27</v>
      </c>
      <c r="D23" s="75" t="s">
        <v>16</v>
      </c>
      <c r="E23" s="1"/>
      <c r="F23" s="76"/>
      <c r="G23" s="77"/>
      <c r="H23" s="77" t="s">
        <v>28</v>
      </c>
      <c r="I23" s="77" t="s">
        <v>15</v>
      </c>
      <c r="J23" s="77" t="s">
        <v>16</v>
      </c>
      <c r="K23" s="78" t="s">
        <v>23</v>
      </c>
      <c r="L23" s="1"/>
      <c r="M23" s="79"/>
      <c r="N23" s="80" t="s">
        <v>15</v>
      </c>
      <c r="O23" s="80" t="s">
        <v>16</v>
      </c>
      <c r="P23" s="81" t="s">
        <v>23</v>
      </c>
      <c r="Q23" s="1"/>
      <c r="R23" s="82"/>
      <c r="S23" s="83"/>
      <c r="T23" s="83" t="s">
        <v>28</v>
      </c>
      <c r="U23" s="83" t="s">
        <v>15</v>
      </c>
      <c r="V23" s="84" t="s">
        <v>16</v>
      </c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>
      <c r="A24" s="1"/>
      <c r="B24" s="44" t="s">
        <v>29</v>
      </c>
      <c r="C24" s="85"/>
      <c r="D24" s="86"/>
      <c r="E24" s="1"/>
      <c r="F24" s="44" t="b">
        <v>0</v>
      </c>
      <c r="G24" s="187"/>
      <c r="H24" s="88"/>
      <c r="I24" s="85"/>
      <c r="J24" s="85"/>
      <c r="K24" s="89" t="str">
        <f t="shared" ref="K24:K36" si="5">if(I24="",J24,(if(J24="","",I24-J24)))</f>
        <v/>
      </c>
      <c r="L24" s="1"/>
      <c r="M24" s="44"/>
      <c r="N24" s="85"/>
      <c r="O24" s="85"/>
      <c r="P24" s="46" t="str">
        <f t="shared" ref="P24:P62" si="6">if(N24="",O24,(if(O24="","",N24-O24)))</f>
        <v/>
      </c>
      <c r="Q24" s="1"/>
      <c r="R24" s="44" t="b">
        <v>0</v>
      </c>
      <c r="S24" s="90"/>
      <c r="T24" s="88"/>
      <c r="U24" s="85"/>
      <c r="V24" s="86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>
      <c r="A25" s="1"/>
      <c r="B25" s="15" t="s">
        <v>33</v>
      </c>
      <c r="C25" s="91"/>
      <c r="D25" s="92"/>
      <c r="E25" s="1"/>
      <c r="F25" s="15" t="b">
        <v>0</v>
      </c>
      <c r="G25" s="93"/>
      <c r="H25" s="94"/>
      <c r="I25" s="91"/>
      <c r="J25" s="91"/>
      <c r="K25" s="89" t="str">
        <f t="shared" si="5"/>
        <v/>
      </c>
      <c r="L25" s="1"/>
      <c r="M25" s="15"/>
      <c r="N25" s="91"/>
      <c r="O25" s="91"/>
      <c r="P25" s="46" t="str">
        <f t="shared" si="6"/>
        <v/>
      </c>
      <c r="Q25" s="1"/>
      <c r="R25" s="15" t="b">
        <v>0</v>
      </c>
      <c r="S25" s="21"/>
      <c r="T25" s="94"/>
      <c r="U25" s="91"/>
      <c r="V25" s="92"/>
      <c r="W25" s="1"/>
      <c r="X25" s="1"/>
      <c r="Z25" s="1"/>
      <c r="AA25" s="1"/>
      <c r="AB25" s="1"/>
      <c r="AC25" s="1"/>
      <c r="AD25" s="1"/>
      <c r="AE25" s="1"/>
      <c r="AF25" s="1"/>
      <c r="AG25" s="1"/>
    </row>
    <row r="26">
      <c r="A26" s="1"/>
      <c r="B26" s="15" t="s">
        <v>37</v>
      </c>
      <c r="C26" s="91"/>
      <c r="D26" s="92"/>
      <c r="E26" s="1"/>
      <c r="F26" s="15" t="b">
        <v>0</v>
      </c>
      <c r="G26" s="93"/>
      <c r="H26" s="94"/>
      <c r="I26" s="91"/>
      <c r="J26" s="91"/>
      <c r="K26" s="89" t="str">
        <f t="shared" si="5"/>
        <v/>
      </c>
      <c r="L26" s="1"/>
      <c r="M26" s="15"/>
      <c r="N26" s="91"/>
      <c r="O26" s="91"/>
      <c r="P26" s="46" t="str">
        <f t="shared" si="6"/>
        <v/>
      </c>
      <c r="Q26" s="1"/>
      <c r="R26" s="15" t="b">
        <v>0</v>
      </c>
      <c r="S26" s="21"/>
      <c r="T26" s="94"/>
      <c r="U26" s="91"/>
      <c r="V26" s="92"/>
      <c r="W26" s="1"/>
      <c r="X26" s="1"/>
      <c r="Z26" s="1"/>
      <c r="AA26" s="1"/>
      <c r="AB26" s="1"/>
      <c r="AC26" s="1"/>
      <c r="AD26" s="1"/>
      <c r="AE26" s="1"/>
      <c r="AF26" s="1"/>
      <c r="AG26" s="1"/>
    </row>
    <row r="27">
      <c r="A27" s="1"/>
      <c r="B27" s="15" t="s">
        <v>41</v>
      </c>
      <c r="C27" s="91"/>
      <c r="D27" s="92"/>
      <c r="E27" s="1"/>
      <c r="F27" s="15" t="b">
        <v>0</v>
      </c>
      <c r="G27" s="93"/>
      <c r="H27" s="94"/>
      <c r="I27" s="91"/>
      <c r="J27" s="95"/>
      <c r="K27" s="89" t="str">
        <f t="shared" si="5"/>
        <v/>
      </c>
      <c r="L27" s="1"/>
      <c r="M27" s="15"/>
      <c r="N27" s="91"/>
      <c r="O27" s="91"/>
      <c r="P27" s="46" t="str">
        <f t="shared" si="6"/>
        <v/>
      </c>
      <c r="Q27" s="1"/>
      <c r="R27" s="15" t="b">
        <v>0</v>
      </c>
      <c r="S27" s="21"/>
      <c r="T27" s="94"/>
      <c r="U27" s="91"/>
      <c r="V27" s="92"/>
      <c r="W27" s="1"/>
      <c r="X27" s="1"/>
      <c r="Z27" s="1"/>
      <c r="AA27" s="1"/>
      <c r="AB27" s="1"/>
      <c r="AC27" s="1"/>
      <c r="AD27" s="1"/>
      <c r="AE27" s="1"/>
      <c r="AF27" s="1"/>
      <c r="AG27" s="1"/>
    </row>
    <row r="28">
      <c r="A28" s="1"/>
      <c r="B28" s="53" t="s">
        <v>45</v>
      </c>
      <c r="C28" s="96"/>
      <c r="D28" s="97"/>
      <c r="E28" s="1"/>
      <c r="F28" s="15" t="b">
        <v>0</v>
      </c>
      <c r="G28" s="93"/>
      <c r="H28" s="94"/>
      <c r="I28" s="91"/>
      <c r="J28" s="91"/>
      <c r="K28" s="89" t="str">
        <f t="shared" si="5"/>
        <v/>
      </c>
      <c r="L28" s="1"/>
      <c r="M28" s="15"/>
      <c r="N28" s="91"/>
      <c r="O28" s="91"/>
      <c r="P28" s="46" t="str">
        <f t="shared" si="6"/>
        <v/>
      </c>
      <c r="Q28" s="1"/>
      <c r="R28" s="98" t="b">
        <v>0</v>
      </c>
      <c r="S28" s="90"/>
      <c r="T28" s="94"/>
      <c r="U28" s="99"/>
      <c r="V28" s="92"/>
      <c r="W28" s="1"/>
      <c r="X28" s="1"/>
      <c r="Z28" s="1"/>
      <c r="AA28" s="1"/>
      <c r="AB28" s="1"/>
      <c r="AC28" s="1"/>
      <c r="AD28" s="1"/>
      <c r="AE28" s="1"/>
      <c r="AF28" s="1"/>
      <c r="AG28" s="1"/>
    </row>
    <row r="29">
      <c r="A29" s="1"/>
      <c r="B29" s="100" t="s">
        <v>48</v>
      </c>
      <c r="C29" s="101">
        <f t="shared" ref="C29:D29" si="7">sum(C24:C28)</f>
        <v>0</v>
      </c>
      <c r="D29" s="102">
        <f t="shared" si="7"/>
        <v>0</v>
      </c>
      <c r="E29" s="1"/>
      <c r="F29" s="15" t="b">
        <v>0</v>
      </c>
      <c r="G29" s="93"/>
      <c r="H29" s="94"/>
      <c r="I29" s="91"/>
      <c r="J29" s="91"/>
      <c r="K29" s="89" t="str">
        <f t="shared" si="5"/>
        <v/>
      </c>
      <c r="L29" s="1"/>
      <c r="M29" s="15"/>
      <c r="N29" s="91"/>
      <c r="O29" s="91"/>
      <c r="P29" s="46" t="str">
        <f t="shared" si="6"/>
        <v/>
      </c>
      <c r="Q29" s="1"/>
      <c r="R29" s="98" t="b">
        <v>0</v>
      </c>
      <c r="S29" s="90"/>
      <c r="T29" s="103"/>
      <c r="U29" s="99"/>
      <c r="V29" s="104"/>
      <c r="W29" s="1"/>
      <c r="X29" s="1"/>
      <c r="Y29" s="1"/>
      <c r="Z29" s="1"/>
      <c r="AA29" s="105"/>
      <c r="AB29" s="1"/>
      <c r="AC29" s="1"/>
      <c r="AD29" s="1"/>
      <c r="AE29" s="1"/>
      <c r="AF29" s="1"/>
      <c r="AG29" s="1"/>
    </row>
    <row r="30">
      <c r="A30" s="1"/>
      <c r="B30" s="1"/>
      <c r="C30" s="1"/>
      <c r="D30" s="1"/>
      <c r="E30" s="1"/>
      <c r="F30" s="15" t="b">
        <v>0</v>
      </c>
      <c r="G30" s="93"/>
      <c r="H30" s="94"/>
      <c r="I30" s="91"/>
      <c r="J30" s="91"/>
      <c r="K30" s="89" t="str">
        <f t="shared" si="5"/>
        <v/>
      </c>
      <c r="L30" s="1"/>
      <c r="M30" s="15"/>
      <c r="N30" s="91"/>
      <c r="O30" s="91"/>
      <c r="P30" s="46" t="str">
        <f t="shared" si="6"/>
        <v/>
      </c>
      <c r="Q30" s="1"/>
      <c r="R30" s="98" t="b">
        <v>0</v>
      </c>
      <c r="S30" s="90"/>
      <c r="T30" s="103"/>
      <c r="U30" s="99"/>
      <c r="V30" s="104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>
      <c r="A31" s="1"/>
      <c r="B31" s="106" t="s">
        <v>53</v>
      </c>
      <c r="C31" s="4"/>
      <c r="D31" s="5"/>
      <c r="E31" s="1"/>
      <c r="F31" s="15" t="b">
        <v>0</v>
      </c>
      <c r="G31" s="93"/>
      <c r="H31" s="94"/>
      <c r="I31" s="91"/>
      <c r="J31" s="91"/>
      <c r="K31" s="89" t="str">
        <f t="shared" si="5"/>
        <v/>
      </c>
      <c r="L31" s="1"/>
      <c r="M31" s="15"/>
      <c r="N31" s="91"/>
      <c r="O31" s="91"/>
      <c r="P31" s="46" t="str">
        <f t="shared" si="6"/>
        <v/>
      </c>
      <c r="Q31" s="1"/>
      <c r="R31" s="98" t="b">
        <v>0</v>
      </c>
      <c r="S31" s="90"/>
      <c r="T31" s="103"/>
      <c r="U31" s="99"/>
      <c r="V31" s="104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>
      <c r="A32" s="1"/>
      <c r="B32" s="12"/>
      <c r="D32" s="13"/>
      <c r="E32" s="1"/>
      <c r="F32" s="15" t="b">
        <v>0</v>
      </c>
      <c r="G32" s="93"/>
      <c r="H32" s="94"/>
      <c r="I32" s="91"/>
      <c r="J32" s="91"/>
      <c r="K32" s="89" t="str">
        <f t="shared" si="5"/>
        <v/>
      </c>
      <c r="L32" s="1"/>
      <c r="M32" s="15"/>
      <c r="N32" s="107"/>
      <c r="O32" s="91"/>
      <c r="P32" s="46" t="str">
        <f t="shared" si="6"/>
        <v/>
      </c>
      <c r="Q32" s="1"/>
      <c r="R32" s="98" t="b">
        <v>0</v>
      </c>
      <c r="S32" s="90"/>
      <c r="T32" s="103"/>
      <c r="U32" s="99"/>
      <c r="V32" s="104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>
      <c r="A33" s="1"/>
      <c r="B33" s="108"/>
      <c r="C33" s="109" t="s">
        <v>27</v>
      </c>
      <c r="D33" s="110" t="s">
        <v>16</v>
      </c>
      <c r="E33" s="1"/>
      <c r="F33" s="15" t="b">
        <v>0</v>
      </c>
      <c r="G33" s="93"/>
      <c r="H33" s="94"/>
      <c r="I33" s="91"/>
      <c r="J33" s="91"/>
      <c r="K33" s="89" t="str">
        <f t="shared" si="5"/>
        <v/>
      </c>
      <c r="L33" s="1"/>
      <c r="M33" s="15"/>
      <c r="N33" s="91"/>
      <c r="O33" s="91"/>
      <c r="P33" s="46" t="str">
        <f t="shared" si="6"/>
        <v/>
      </c>
      <c r="Q33" s="1"/>
      <c r="R33" s="98" t="b">
        <v>0</v>
      </c>
      <c r="S33" s="90"/>
      <c r="T33" s="103"/>
      <c r="U33" s="99"/>
      <c r="V33" s="104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>
      <c r="A34" s="1"/>
      <c r="B34" s="15" t="s">
        <v>59</v>
      </c>
      <c r="C34" s="91"/>
      <c r="D34" s="92"/>
      <c r="E34" s="1"/>
      <c r="F34" s="15" t="b">
        <v>0</v>
      </c>
      <c r="G34" s="111"/>
      <c r="H34" s="94"/>
      <c r="I34" s="91"/>
      <c r="J34" s="91"/>
      <c r="K34" s="89" t="str">
        <f t="shared" si="5"/>
        <v/>
      </c>
      <c r="L34" s="1"/>
      <c r="M34" s="15"/>
      <c r="N34" s="91"/>
      <c r="O34" s="91"/>
      <c r="P34" s="46" t="str">
        <f t="shared" si="6"/>
        <v/>
      </c>
      <c r="Q34" s="1"/>
      <c r="R34" s="98" t="b">
        <v>0</v>
      </c>
      <c r="S34" s="90"/>
      <c r="T34" s="103"/>
      <c r="U34" s="99"/>
      <c r="V34" s="104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>
      <c r="A35" s="1"/>
      <c r="B35" s="15" t="s">
        <v>62</v>
      </c>
      <c r="C35" s="91"/>
      <c r="D35" s="92"/>
      <c r="E35" s="1"/>
      <c r="F35" s="15" t="b">
        <v>0</v>
      </c>
      <c r="G35" s="93"/>
      <c r="H35" s="94"/>
      <c r="I35" s="91"/>
      <c r="J35" s="91"/>
      <c r="K35" s="89" t="str">
        <f t="shared" si="5"/>
        <v/>
      </c>
      <c r="L35" s="1"/>
      <c r="M35" s="15"/>
      <c r="N35" s="91"/>
      <c r="O35" s="91"/>
      <c r="P35" s="46" t="str">
        <f t="shared" si="6"/>
        <v/>
      </c>
      <c r="Q35" s="1"/>
      <c r="R35" s="98" t="b">
        <v>0</v>
      </c>
      <c r="S35" s="90"/>
      <c r="T35" s="103"/>
      <c r="U35" s="99"/>
      <c r="V35" s="104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>
      <c r="A36" s="1"/>
      <c r="B36" s="15" t="s">
        <v>64</v>
      </c>
      <c r="C36" s="91"/>
      <c r="D36" s="92"/>
      <c r="E36" s="1"/>
      <c r="F36" s="15" t="b">
        <v>0</v>
      </c>
      <c r="G36" s="93"/>
      <c r="H36" s="94"/>
      <c r="I36" s="91"/>
      <c r="J36" s="91"/>
      <c r="K36" s="89" t="str">
        <f t="shared" si="5"/>
        <v/>
      </c>
      <c r="L36" s="1"/>
      <c r="M36" s="15"/>
      <c r="N36" s="91"/>
      <c r="O36" s="91"/>
      <c r="P36" s="46" t="str">
        <f t="shared" si="6"/>
        <v/>
      </c>
      <c r="Q36" s="1"/>
      <c r="R36" s="98" t="b">
        <v>0</v>
      </c>
      <c r="S36" s="90"/>
      <c r="T36" s="103"/>
      <c r="U36" s="99"/>
      <c r="V36" s="104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>
      <c r="A37" s="1"/>
      <c r="B37" s="15" t="s">
        <v>66</v>
      </c>
      <c r="C37" s="91"/>
      <c r="D37" s="92"/>
      <c r="E37" s="1"/>
      <c r="F37" s="98" t="b">
        <v>0</v>
      </c>
      <c r="G37" s="112"/>
      <c r="H37" s="103"/>
      <c r="I37" s="91"/>
      <c r="J37" s="91"/>
      <c r="K37" s="89"/>
      <c r="L37" s="1"/>
      <c r="M37" s="98"/>
      <c r="N37" s="99"/>
      <c r="O37" s="99"/>
      <c r="P37" s="46" t="str">
        <f t="shared" si="6"/>
        <v/>
      </c>
      <c r="Q37" s="1"/>
      <c r="R37" s="98" t="b">
        <v>0</v>
      </c>
      <c r="S37" s="90"/>
      <c r="T37" s="103"/>
      <c r="U37" s="99"/>
      <c r="V37" s="104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>
      <c r="A38" s="1"/>
      <c r="B38" s="15" t="s">
        <v>67</v>
      </c>
      <c r="C38" s="91"/>
      <c r="D38" s="92"/>
      <c r="E38" s="1"/>
      <c r="F38" s="98" t="b">
        <v>0</v>
      </c>
      <c r="G38" s="112"/>
      <c r="H38" s="103"/>
      <c r="I38" s="99"/>
      <c r="J38" s="91"/>
      <c r="K38" s="89" t="str">
        <f t="shared" ref="K38:K62" si="8">if(I38="",J38,(if(J38="","",I38-J38)))</f>
        <v/>
      </c>
      <c r="L38" s="1"/>
      <c r="M38" s="98"/>
      <c r="N38" s="91"/>
      <c r="O38" s="91"/>
      <c r="P38" s="46" t="str">
        <f t="shared" si="6"/>
        <v/>
      </c>
      <c r="Q38" s="1"/>
      <c r="R38" s="98" t="b">
        <v>0</v>
      </c>
      <c r="S38" s="90"/>
      <c r="T38" s="103"/>
      <c r="U38" s="99"/>
      <c r="V38" s="104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>
      <c r="A39" s="1"/>
      <c r="B39" s="113" t="s">
        <v>48</v>
      </c>
      <c r="C39" s="114">
        <f>SUM(C34:C38)</f>
        <v>0</v>
      </c>
      <c r="D39" s="115">
        <f>sum(D34:D38)</f>
        <v>0</v>
      </c>
      <c r="E39" s="1"/>
      <c r="F39" s="98" t="b">
        <v>0</v>
      </c>
      <c r="G39" s="112"/>
      <c r="H39" s="103"/>
      <c r="I39" s="99"/>
      <c r="J39" s="91"/>
      <c r="K39" s="89" t="str">
        <f t="shared" si="8"/>
        <v/>
      </c>
      <c r="L39" s="1"/>
      <c r="M39" s="98"/>
      <c r="N39" s="91"/>
      <c r="O39" s="91"/>
      <c r="P39" s="46" t="str">
        <f t="shared" si="6"/>
        <v/>
      </c>
      <c r="Q39" s="1"/>
      <c r="R39" s="98" t="b">
        <v>0</v>
      </c>
      <c r="S39" s="90"/>
      <c r="T39" s="103"/>
      <c r="U39" s="99"/>
      <c r="V39" s="104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>
      <c r="A40" s="1"/>
      <c r="B40" s="116"/>
      <c r="C40" s="116"/>
      <c r="D40" s="116"/>
      <c r="E40" s="1"/>
      <c r="F40" s="98" t="b">
        <v>0</v>
      </c>
      <c r="G40" s="112"/>
      <c r="H40" s="103"/>
      <c r="I40" s="99"/>
      <c r="J40" s="91"/>
      <c r="K40" s="89" t="str">
        <f t="shared" si="8"/>
        <v/>
      </c>
      <c r="L40" s="1"/>
      <c r="M40" s="98"/>
      <c r="N40" s="99"/>
      <c r="O40" s="99"/>
      <c r="P40" s="46" t="str">
        <f t="shared" si="6"/>
        <v/>
      </c>
      <c r="Q40" s="1"/>
      <c r="R40" s="98" t="b">
        <v>0</v>
      </c>
      <c r="S40" s="90"/>
      <c r="T40" s="103"/>
      <c r="U40" s="99"/>
      <c r="V40" s="104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>
      <c r="A41" s="1"/>
      <c r="B41" s="117" t="s">
        <v>68</v>
      </c>
      <c r="C41" s="4"/>
      <c r="D41" s="5"/>
      <c r="E41" s="1"/>
      <c r="F41" s="98" t="b">
        <v>0</v>
      </c>
      <c r="G41" s="112"/>
      <c r="H41" s="103"/>
      <c r="I41" s="99"/>
      <c r="J41" s="91"/>
      <c r="K41" s="89" t="str">
        <f t="shared" si="8"/>
        <v/>
      </c>
      <c r="L41" s="1"/>
      <c r="M41" s="98"/>
      <c r="N41" s="99"/>
      <c r="O41" s="99"/>
      <c r="P41" s="46" t="str">
        <f t="shared" si="6"/>
        <v/>
      </c>
      <c r="Q41" s="1"/>
      <c r="R41" s="98" t="b">
        <v>0</v>
      </c>
      <c r="S41" s="90"/>
      <c r="T41" s="103"/>
      <c r="U41" s="99"/>
      <c r="V41" s="104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>
      <c r="A42" s="1"/>
      <c r="B42" s="12"/>
      <c r="D42" s="13"/>
      <c r="E42" s="1"/>
      <c r="F42" s="98" t="b">
        <v>0</v>
      </c>
      <c r="G42" s="112"/>
      <c r="H42" s="103"/>
      <c r="I42" s="99"/>
      <c r="J42" s="99"/>
      <c r="K42" s="89" t="str">
        <f t="shared" si="8"/>
        <v/>
      </c>
      <c r="L42" s="1"/>
      <c r="M42" s="98"/>
      <c r="N42" s="91"/>
      <c r="O42" s="91"/>
      <c r="P42" s="46" t="str">
        <f t="shared" si="6"/>
        <v/>
      </c>
      <c r="Q42" s="1"/>
      <c r="R42" s="98" t="b">
        <v>0</v>
      </c>
      <c r="S42" s="90"/>
      <c r="T42" s="103"/>
      <c r="U42" s="99"/>
      <c r="V42" s="104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>
      <c r="A43" s="1"/>
      <c r="B43" s="118"/>
      <c r="C43" s="119" t="s">
        <v>15</v>
      </c>
      <c r="D43" s="120" t="s">
        <v>16</v>
      </c>
      <c r="E43" s="1"/>
      <c r="F43" s="98" t="b">
        <v>0</v>
      </c>
      <c r="G43" s="112"/>
      <c r="H43" s="103"/>
      <c r="I43" s="99"/>
      <c r="J43" s="91"/>
      <c r="K43" s="89" t="str">
        <f t="shared" si="8"/>
        <v/>
      </c>
      <c r="L43" s="1"/>
      <c r="M43" s="98"/>
      <c r="N43" s="91"/>
      <c r="O43" s="91"/>
      <c r="P43" s="46" t="str">
        <f t="shared" si="6"/>
        <v/>
      </c>
      <c r="Q43" s="1"/>
      <c r="R43" s="98" t="b">
        <v>0</v>
      </c>
      <c r="S43" s="90"/>
      <c r="T43" s="103"/>
      <c r="U43" s="99"/>
      <c r="V43" s="104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>
      <c r="A44" s="1"/>
      <c r="B44" s="44" t="s">
        <v>57</v>
      </c>
      <c r="C44" s="85"/>
      <c r="D44" s="86"/>
      <c r="E44" s="1"/>
      <c r="F44" s="98" t="b">
        <v>0</v>
      </c>
      <c r="G44" s="112"/>
      <c r="H44" s="103"/>
      <c r="I44" s="99"/>
      <c r="J44" s="91"/>
      <c r="K44" s="89" t="str">
        <f t="shared" si="8"/>
        <v/>
      </c>
      <c r="L44" s="1"/>
      <c r="M44" s="98"/>
      <c r="N44" s="99"/>
      <c r="O44" s="91"/>
      <c r="P44" s="46" t="str">
        <f t="shared" si="6"/>
        <v/>
      </c>
      <c r="Q44" s="1"/>
      <c r="R44" s="98" t="b">
        <v>0</v>
      </c>
      <c r="S44" s="90"/>
      <c r="T44" s="103"/>
      <c r="U44" s="99"/>
      <c r="V44" s="104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>
      <c r="A45" s="1"/>
      <c r="B45" s="15" t="s">
        <v>69</v>
      </c>
      <c r="C45" s="91"/>
      <c r="D45" s="92"/>
      <c r="E45" s="1"/>
      <c r="F45" s="98" t="b">
        <v>0</v>
      </c>
      <c r="G45" s="112"/>
      <c r="H45" s="103"/>
      <c r="I45" s="99"/>
      <c r="J45" s="99"/>
      <c r="K45" s="89" t="str">
        <f t="shared" si="8"/>
        <v/>
      </c>
      <c r="L45" s="1"/>
      <c r="M45" s="98"/>
      <c r="N45" s="99"/>
      <c r="O45" s="91"/>
      <c r="P45" s="46" t="str">
        <f t="shared" si="6"/>
        <v/>
      </c>
      <c r="Q45" s="1"/>
      <c r="R45" s="98" t="b">
        <v>0</v>
      </c>
      <c r="S45" s="90"/>
      <c r="T45" s="103"/>
      <c r="U45" s="99"/>
      <c r="V45" s="104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>
      <c r="A46" s="1"/>
      <c r="B46" s="15" t="s">
        <v>70</v>
      </c>
      <c r="C46" s="91"/>
      <c r="D46" s="92"/>
      <c r="E46" s="1"/>
      <c r="F46" s="98" t="b">
        <v>0</v>
      </c>
      <c r="G46" s="112"/>
      <c r="H46" s="103"/>
      <c r="I46" s="91"/>
      <c r="J46" s="91"/>
      <c r="K46" s="89" t="str">
        <f t="shared" si="8"/>
        <v/>
      </c>
      <c r="L46" s="1"/>
      <c r="M46" s="98"/>
      <c r="N46" s="99"/>
      <c r="O46" s="91"/>
      <c r="P46" s="46" t="str">
        <f t="shared" si="6"/>
        <v/>
      </c>
      <c r="Q46" s="1"/>
      <c r="R46" s="98" t="b">
        <v>0</v>
      </c>
      <c r="S46" s="90"/>
      <c r="T46" s="103"/>
      <c r="U46" s="99"/>
      <c r="V46" s="10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>
      <c r="A47" s="1"/>
      <c r="B47" s="15" t="s">
        <v>71</v>
      </c>
      <c r="C47" s="91"/>
      <c r="D47" s="92"/>
      <c r="E47" s="1"/>
      <c r="F47" s="15" t="b">
        <v>0</v>
      </c>
      <c r="G47" s="112"/>
      <c r="H47" s="103"/>
      <c r="I47" s="91"/>
      <c r="J47" s="91"/>
      <c r="K47" s="89" t="str">
        <f t="shared" si="8"/>
        <v/>
      </c>
      <c r="L47" s="1"/>
      <c r="M47" s="98"/>
      <c r="N47" s="99"/>
      <c r="O47" s="99"/>
      <c r="P47" s="46" t="str">
        <f t="shared" si="6"/>
        <v/>
      </c>
      <c r="Q47" s="1"/>
      <c r="R47" s="98" t="b">
        <v>0</v>
      </c>
      <c r="S47" s="90"/>
      <c r="T47" s="103"/>
      <c r="U47" s="99"/>
      <c r="V47" s="104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>
      <c r="A48" s="1"/>
      <c r="B48" s="15" t="s">
        <v>72</v>
      </c>
      <c r="C48" s="91"/>
      <c r="D48" s="92"/>
      <c r="E48" s="1"/>
      <c r="F48" s="15" t="b">
        <v>0</v>
      </c>
      <c r="G48" s="112"/>
      <c r="H48" s="103"/>
      <c r="I48" s="91"/>
      <c r="J48" s="91"/>
      <c r="K48" s="89" t="str">
        <f t="shared" si="8"/>
        <v/>
      </c>
      <c r="L48" s="1"/>
      <c r="M48" s="98"/>
      <c r="N48" s="99"/>
      <c r="O48" s="99"/>
      <c r="P48" s="46" t="str">
        <f t="shared" si="6"/>
        <v/>
      </c>
      <c r="Q48" s="1"/>
      <c r="R48" s="121" t="b">
        <v>0</v>
      </c>
      <c r="S48" s="122"/>
      <c r="T48" s="123"/>
      <c r="U48" s="124"/>
      <c r="V48" s="125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>
      <c r="A49" s="1"/>
      <c r="B49" s="15"/>
      <c r="C49" s="91"/>
      <c r="D49" s="92"/>
      <c r="E49" s="1"/>
      <c r="F49" s="15" t="b">
        <v>0</v>
      </c>
      <c r="G49" s="112"/>
      <c r="H49" s="103"/>
      <c r="I49" s="91"/>
      <c r="J49" s="91"/>
      <c r="K49" s="89" t="str">
        <f t="shared" si="8"/>
        <v/>
      </c>
      <c r="L49" s="1"/>
      <c r="M49" s="98"/>
      <c r="N49" s="99"/>
      <c r="O49" s="99"/>
      <c r="P49" s="46" t="str">
        <f t="shared" si="6"/>
        <v/>
      </c>
      <c r="Q49" s="1"/>
      <c r="R49" s="126"/>
      <c r="S49" s="127" t="s">
        <v>48</v>
      </c>
      <c r="T49" s="127"/>
      <c r="U49" s="128">
        <f>sum(U24:U48)</f>
        <v>0</v>
      </c>
      <c r="V49" s="129">
        <f>SUM(V24:V48)</f>
        <v>0</v>
      </c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>
      <c r="A50" s="1"/>
      <c r="B50" s="15"/>
      <c r="C50" s="91"/>
      <c r="D50" s="92"/>
      <c r="E50" s="1"/>
      <c r="F50" s="15" t="b">
        <v>0</v>
      </c>
      <c r="G50" s="112"/>
      <c r="H50" s="103"/>
      <c r="I50" s="91"/>
      <c r="J50" s="91"/>
      <c r="K50" s="89" t="str">
        <f t="shared" si="8"/>
        <v/>
      </c>
      <c r="M50" s="98"/>
      <c r="N50" s="99"/>
      <c r="O50" s="99"/>
      <c r="P50" s="46" t="str">
        <f t="shared" si="6"/>
        <v/>
      </c>
      <c r="R50" s="33"/>
      <c r="S50" s="33"/>
      <c r="T50" s="33"/>
      <c r="U50" s="33"/>
      <c r="V50" s="33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>
      <c r="A51" s="1"/>
      <c r="B51" s="15"/>
      <c r="C51" s="91"/>
      <c r="D51" s="92"/>
      <c r="E51" s="1"/>
      <c r="F51" s="15" t="b">
        <v>0</v>
      </c>
      <c r="G51" s="112"/>
      <c r="H51" s="103"/>
      <c r="I51" s="91"/>
      <c r="J51" s="91"/>
      <c r="K51" s="89" t="str">
        <f t="shared" si="8"/>
        <v/>
      </c>
      <c r="M51" s="98"/>
      <c r="N51" s="99"/>
      <c r="O51" s="99"/>
      <c r="P51" s="46" t="str">
        <f t="shared" si="6"/>
        <v/>
      </c>
      <c r="R51" s="130" t="s">
        <v>73</v>
      </c>
      <c r="S51" s="4"/>
      <c r="T51" s="4"/>
      <c r="U51" s="4"/>
      <c r="V51" s="5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>
      <c r="A52" s="1"/>
      <c r="B52" s="15"/>
      <c r="C52" s="91"/>
      <c r="D52" s="92"/>
      <c r="E52" s="1"/>
      <c r="F52" s="15" t="b">
        <v>0</v>
      </c>
      <c r="G52" s="112"/>
      <c r="H52" s="103"/>
      <c r="I52" s="91"/>
      <c r="J52" s="91"/>
      <c r="K52" s="89" t="str">
        <f t="shared" si="8"/>
        <v/>
      </c>
      <c r="M52" s="98"/>
      <c r="N52" s="99"/>
      <c r="O52" s="99"/>
      <c r="P52" s="46" t="str">
        <f t="shared" si="6"/>
        <v/>
      </c>
      <c r="R52" s="12"/>
      <c r="V52" s="13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>
      <c r="A53" s="1"/>
      <c r="B53" s="15"/>
      <c r="C53" s="91"/>
      <c r="D53" s="92"/>
      <c r="E53" s="1"/>
      <c r="F53" s="15" t="b">
        <v>0</v>
      </c>
      <c r="G53" s="112"/>
      <c r="H53" s="103"/>
      <c r="I53" s="91"/>
      <c r="J53" s="91"/>
      <c r="K53" s="89" t="str">
        <f t="shared" si="8"/>
        <v/>
      </c>
      <c r="M53" s="98"/>
      <c r="N53" s="99"/>
      <c r="O53" s="99"/>
      <c r="P53" s="46" t="str">
        <f t="shared" si="6"/>
        <v/>
      </c>
      <c r="R53" s="131"/>
      <c r="S53" s="10"/>
      <c r="T53" s="10"/>
      <c r="U53" s="10"/>
      <c r="V53" s="1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>
      <c r="A54" s="1"/>
      <c r="B54" s="15"/>
      <c r="C54" s="91"/>
      <c r="D54" s="92"/>
      <c r="E54" s="1"/>
      <c r="F54" s="15" t="b">
        <v>0</v>
      </c>
      <c r="G54" s="112"/>
      <c r="H54" s="103"/>
      <c r="I54" s="91"/>
      <c r="J54" s="91"/>
      <c r="K54" s="89" t="str">
        <f t="shared" si="8"/>
        <v/>
      </c>
      <c r="M54" s="98"/>
      <c r="N54" s="99"/>
      <c r="O54" s="99"/>
      <c r="P54" s="46" t="str">
        <f t="shared" si="6"/>
        <v/>
      </c>
      <c r="R54" s="132"/>
      <c r="S54" s="133"/>
      <c r="T54" s="133"/>
      <c r="U54" s="133"/>
      <c r="V54" s="17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>
      <c r="A55" s="1"/>
      <c r="B55" s="15"/>
      <c r="C55" s="91"/>
      <c r="D55" s="92"/>
      <c r="E55" s="1"/>
      <c r="F55" s="15" t="b">
        <v>0</v>
      </c>
      <c r="G55" s="112"/>
      <c r="H55" s="103"/>
      <c r="I55" s="91"/>
      <c r="J55" s="91"/>
      <c r="K55" s="89" t="str">
        <f t="shared" si="8"/>
        <v/>
      </c>
      <c r="M55" s="98"/>
      <c r="N55" s="99"/>
      <c r="O55" s="99"/>
      <c r="P55" s="46" t="str">
        <f t="shared" si="6"/>
        <v/>
      </c>
      <c r="R55" s="132"/>
      <c r="S55" s="133"/>
      <c r="T55" s="133"/>
      <c r="U55" s="133"/>
      <c r="V55" s="17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>
      <c r="A56" s="1"/>
      <c r="B56" s="15"/>
      <c r="C56" s="91"/>
      <c r="D56" s="92"/>
      <c r="E56" s="1"/>
      <c r="F56" s="15" t="b">
        <v>0</v>
      </c>
      <c r="G56" s="112"/>
      <c r="H56" s="103"/>
      <c r="I56" s="91"/>
      <c r="J56" s="91"/>
      <c r="K56" s="89" t="str">
        <f t="shared" si="8"/>
        <v/>
      </c>
      <c r="M56" s="98"/>
      <c r="N56" s="99"/>
      <c r="O56" s="99"/>
      <c r="P56" s="46" t="str">
        <f t="shared" si="6"/>
        <v/>
      </c>
      <c r="R56" s="134"/>
      <c r="S56" s="133"/>
      <c r="T56" s="133"/>
      <c r="U56" s="133"/>
      <c r="V56" s="17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>
      <c r="A57" s="1"/>
      <c r="B57" s="15"/>
      <c r="C57" s="91"/>
      <c r="D57" s="92"/>
      <c r="E57" s="1"/>
      <c r="F57" s="15" t="b">
        <v>0</v>
      </c>
      <c r="G57" s="112"/>
      <c r="H57" s="103"/>
      <c r="I57" s="91"/>
      <c r="J57" s="91"/>
      <c r="K57" s="89" t="str">
        <f t="shared" si="8"/>
        <v/>
      </c>
      <c r="M57" s="98"/>
      <c r="N57" s="99"/>
      <c r="O57" s="99"/>
      <c r="P57" s="46" t="str">
        <f t="shared" si="6"/>
        <v/>
      </c>
      <c r="R57" s="134"/>
      <c r="S57" s="133"/>
      <c r="T57" s="133"/>
      <c r="U57" s="133"/>
      <c r="V57" s="17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>
      <c r="A58" s="1"/>
      <c r="B58" s="15"/>
      <c r="C58" s="91"/>
      <c r="D58" s="92"/>
      <c r="E58" s="1"/>
      <c r="F58" s="15" t="b">
        <v>0</v>
      </c>
      <c r="G58" s="112"/>
      <c r="H58" s="103"/>
      <c r="I58" s="91"/>
      <c r="J58" s="91"/>
      <c r="K58" s="89" t="str">
        <f t="shared" si="8"/>
        <v/>
      </c>
      <c r="M58" s="98"/>
      <c r="N58" s="99"/>
      <c r="O58" s="99"/>
      <c r="P58" s="46" t="str">
        <f t="shared" si="6"/>
        <v/>
      </c>
      <c r="R58" s="134"/>
      <c r="S58" s="133"/>
      <c r="T58" s="133"/>
      <c r="U58" s="133"/>
      <c r="V58" s="17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>
      <c r="A59" s="1"/>
      <c r="B59" s="15"/>
      <c r="C59" s="91"/>
      <c r="D59" s="92"/>
      <c r="E59" s="1"/>
      <c r="F59" s="15" t="b">
        <v>0</v>
      </c>
      <c r="G59" s="112"/>
      <c r="H59" s="103"/>
      <c r="I59" s="91"/>
      <c r="J59" s="91"/>
      <c r="K59" s="89" t="str">
        <f t="shared" si="8"/>
        <v/>
      </c>
      <c r="M59" s="98"/>
      <c r="N59" s="99"/>
      <c r="O59" s="99"/>
      <c r="P59" s="46" t="str">
        <f t="shared" si="6"/>
        <v/>
      </c>
      <c r="R59" s="134"/>
      <c r="S59" s="133"/>
      <c r="T59" s="133"/>
      <c r="U59" s="133"/>
      <c r="V59" s="17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>
      <c r="A60" s="1"/>
      <c r="B60" s="15"/>
      <c r="C60" s="91"/>
      <c r="D60" s="92"/>
      <c r="E60" s="1"/>
      <c r="F60" s="15" t="b">
        <v>0</v>
      </c>
      <c r="G60" s="112"/>
      <c r="H60" s="103"/>
      <c r="I60" s="91"/>
      <c r="J60" s="91"/>
      <c r="K60" s="89" t="str">
        <f t="shared" si="8"/>
        <v/>
      </c>
      <c r="M60" s="98"/>
      <c r="N60" s="99"/>
      <c r="O60" s="99"/>
      <c r="P60" s="46" t="str">
        <f t="shared" si="6"/>
        <v/>
      </c>
      <c r="R60" s="134"/>
      <c r="S60" s="133"/>
      <c r="T60" s="133"/>
      <c r="U60" s="133"/>
      <c r="V60" s="17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>
      <c r="A61" s="1"/>
      <c r="B61" s="15"/>
      <c r="C61" s="91"/>
      <c r="D61" s="92"/>
      <c r="E61" s="1"/>
      <c r="F61" s="15" t="b">
        <v>0</v>
      </c>
      <c r="G61" s="112"/>
      <c r="H61" s="103"/>
      <c r="I61" s="91"/>
      <c r="J61" s="91"/>
      <c r="K61" s="89" t="str">
        <f t="shared" si="8"/>
        <v/>
      </c>
      <c r="M61" s="98"/>
      <c r="N61" s="99"/>
      <c r="O61" s="99"/>
      <c r="P61" s="46" t="str">
        <f t="shared" si="6"/>
        <v/>
      </c>
      <c r="R61" s="134"/>
      <c r="S61" s="133"/>
      <c r="T61" s="133"/>
      <c r="U61" s="133"/>
      <c r="V61" s="17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>
      <c r="A62" s="1"/>
      <c r="B62" s="15"/>
      <c r="C62" s="91"/>
      <c r="D62" s="92"/>
      <c r="E62" s="1"/>
      <c r="F62" s="15" t="b">
        <v>0</v>
      </c>
      <c r="G62" s="112"/>
      <c r="H62" s="103"/>
      <c r="I62" s="91"/>
      <c r="J62" s="91"/>
      <c r="K62" s="89" t="str">
        <f t="shared" si="8"/>
        <v/>
      </c>
      <c r="M62" s="98"/>
      <c r="N62" s="99"/>
      <c r="O62" s="99"/>
      <c r="P62" s="46" t="str">
        <f t="shared" si="6"/>
        <v/>
      </c>
      <c r="R62" s="134"/>
      <c r="S62" s="133"/>
      <c r="T62" s="133"/>
      <c r="U62" s="133"/>
      <c r="V62" s="17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>
      <c r="A63" s="1"/>
      <c r="B63" s="135" t="s">
        <v>48</v>
      </c>
      <c r="C63" s="136">
        <f t="shared" ref="C63:D63" si="9">SUM(C44:C62)</f>
        <v>0</v>
      </c>
      <c r="D63" s="137">
        <f t="shared" si="9"/>
        <v>0</v>
      </c>
      <c r="E63" s="1"/>
      <c r="F63" s="138"/>
      <c r="G63" s="139" t="s">
        <v>48</v>
      </c>
      <c r="H63" s="140"/>
      <c r="I63" s="141">
        <f t="shared" ref="I63:J63" si="10">SUM(I24:I62)</f>
        <v>0</v>
      </c>
      <c r="J63" s="141">
        <f t="shared" si="10"/>
        <v>0</v>
      </c>
      <c r="K63" s="142">
        <f>sum(K24:K62)</f>
        <v>0</v>
      </c>
      <c r="L63" s="1"/>
      <c r="M63" s="143" t="s">
        <v>48</v>
      </c>
      <c r="N63" s="144">
        <f t="shared" ref="N63:P63" si="11">SUM(N24:N62)</f>
        <v>0</v>
      </c>
      <c r="O63" s="144">
        <f t="shared" si="11"/>
        <v>0</v>
      </c>
      <c r="P63" s="145">
        <f t="shared" si="11"/>
        <v>0</v>
      </c>
      <c r="Q63" s="1"/>
      <c r="R63" s="146"/>
      <c r="S63" s="147"/>
      <c r="T63" s="147"/>
      <c r="U63" s="147"/>
      <c r="V63" s="24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>
      <c r="A64" s="1"/>
      <c r="B64" s="1"/>
      <c r="C64" s="1"/>
      <c r="D64" s="1"/>
      <c r="E64" s="1"/>
      <c r="F64" s="1"/>
      <c r="G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>
      <c r="A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>
      <c r="A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>
      <c r="A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>
      <c r="A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>
      <c r="A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>
      <c r="A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>
      <c r="A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>
      <c r="A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>
      <c r="A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>
      <c r="A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>
      <c r="A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>
      <c r="A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>
      <c r="A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>
      <c r="A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>
      <c r="A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>
      <c r="A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>
      <c r="A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</row>
    <row r="82">
      <c r="A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>
      <c r="A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>
      <c r="A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>
      <c r="A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>
      <c r="A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>
      <c r="A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</row>
    <row r="88">
      <c r="A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</row>
    <row r="89">
      <c r="A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0">
      <c r="A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</row>
    <row r="91">
      <c r="A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>
      <c r="A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>
      <c r="A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</row>
    <row r="94">
      <c r="A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</row>
    <row r="95">
      <c r="A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</row>
    <row r="96">
      <c r="A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>
      <c r="A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>
      <c r="A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</row>
    <row r="99">
      <c r="A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</row>
    <row r="100">
      <c r="A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</row>
    <row r="101">
      <c r="A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</row>
    <row r="102">
      <c r="A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>
      <c r="A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>
      <c r="A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>
      <c r="A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>
      <c r="A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>
      <c r="A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>
      <c r="A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>
      <c r="A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>
      <c r="A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>
      <c r="A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>
      <c r="A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>
      <c r="A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>
      <c r="A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>
      <c r="A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>
      <c r="A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>
      <c r="A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>
      <c r="A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>
      <c r="A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>
      <c r="A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</row>
  </sheetData>
  <mergeCells count="35">
    <mergeCell ref="B4:D5"/>
    <mergeCell ref="J4:M6"/>
    <mergeCell ref="N4:P6"/>
    <mergeCell ref="Q4:T6"/>
    <mergeCell ref="U4:V6"/>
    <mergeCell ref="C6:D6"/>
    <mergeCell ref="C7:D7"/>
    <mergeCell ref="F4:I6"/>
    <mergeCell ref="F7:I9"/>
    <mergeCell ref="J7:M9"/>
    <mergeCell ref="N7:P9"/>
    <mergeCell ref="Q7:T9"/>
    <mergeCell ref="U7:V9"/>
    <mergeCell ref="C8:D8"/>
    <mergeCell ref="C9:D9"/>
    <mergeCell ref="B11:D12"/>
    <mergeCell ref="I15:I16"/>
    <mergeCell ref="B21:D22"/>
    <mergeCell ref="F21:J22"/>
    <mergeCell ref="M21:P22"/>
    <mergeCell ref="R21:V22"/>
    <mergeCell ref="R57:V57"/>
    <mergeCell ref="R58:V58"/>
    <mergeCell ref="R59:V59"/>
    <mergeCell ref="R60:V60"/>
    <mergeCell ref="R61:V61"/>
    <mergeCell ref="R62:V62"/>
    <mergeCell ref="R63:V63"/>
    <mergeCell ref="B31:D32"/>
    <mergeCell ref="B41:D42"/>
    <mergeCell ref="R51:V52"/>
    <mergeCell ref="R53:V53"/>
    <mergeCell ref="R54:V54"/>
    <mergeCell ref="R55:V55"/>
    <mergeCell ref="R56:V56"/>
  </mergeCells>
  <conditionalFormatting sqref="K24:K62">
    <cfRule type="cellIs" dxfId="0" priority="1" operator="greaterThan">
      <formula>0</formula>
    </cfRule>
  </conditionalFormatting>
  <conditionalFormatting sqref="K24:K62">
    <cfRule type="cellIs" dxfId="1" priority="2" operator="lessThan">
      <formula>0</formula>
    </cfRule>
  </conditionalFormatting>
  <conditionalFormatting sqref="P24:P62">
    <cfRule type="cellIs" dxfId="0" priority="3" operator="greaterThan">
      <formula>0</formula>
    </cfRule>
  </conditionalFormatting>
  <conditionalFormatting sqref="P24:P62">
    <cfRule type="cellIs" dxfId="1" priority="4" operator="lessThan">
      <formula>0</formula>
    </cfRule>
  </conditionalFormatting>
  <conditionalFormatting sqref="P24:P62">
    <cfRule type="cellIs" dxfId="2" priority="5" operator="equal">
      <formula>0</formula>
    </cfRule>
  </conditionalFormatting>
  <conditionalFormatting sqref="K24:K62">
    <cfRule type="cellIs" dxfId="2" priority="6" operator="equal">
      <formula>0</formula>
    </cfRule>
  </conditionalFormatting>
  <conditionalFormatting sqref="K63">
    <cfRule type="cellIs" dxfId="3" priority="7" operator="greaterThan">
      <formula>0</formula>
    </cfRule>
  </conditionalFormatting>
  <conditionalFormatting sqref="K63">
    <cfRule type="cellIs" dxfId="4" priority="8" operator="lessThan">
      <formula>0</formula>
    </cfRule>
  </conditionalFormatting>
  <conditionalFormatting sqref="P63">
    <cfRule type="cellIs" dxfId="3" priority="9" operator="greaterThan">
      <formula>0</formula>
    </cfRule>
  </conditionalFormatting>
  <conditionalFormatting sqref="K63">
    <cfRule type="cellIs" dxfId="5" priority="10" operator="equal">
      <formula>0</formula>
    </cfRule>
  </conditionalFormatting>
  <dataValidations>
    <dataValidation type="list" allowBlank="1" showErrorMessage="1" sqref="T24:T27 T29:T48 H24:H62">
      <formula1>setting!$A$2:$A$32</formula1>
    </dataValidation>
    <dataValidation type="list" allowBlank="1" showErrorMessage="1" sqref="T28">
      <formula1>setting!$A$2:$A$33</formula1>
    </dataValidation>
    <dataValidation type="list" allowBlank="1" showErrorMessage="1" sqref="C8">
      <formula1>"$,£,€,¥,₽,₩,R$"</formula1>
    </dataValidation>
    <dataValidation type="custom" allowBlank="1" showDropDown="1" sqref="C7">
      <formula1>OR(NOT(ISERROR(DATEVALUE(C7))), AND(ISNUMBER(C7), LEFT(CELL("format", C7))="D"))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15.0"/>
    <col customWidth="1" min="5" max="5" width="1.38"/>
    <col customWidth="1" min="6" max="6" width="3.38"/>
    <col customWidth="1" min="7" max="7" width="15.5"/>
    <col customWidth="1" min="8" max="8" width="7.0"/>
    <col customWidth="1" min="12" max="12" width="2.63"/>
    <col customWidth="1" min="13" max="13" width="15.13"/>
    <col customWidth="1" min="17" max="17" width="2.63"/>
    <col customWidth="1" min="18" max="18" width="3.13"/>
    <col customWidth="1" min="19" max="19" width="13.25"/>
    <col customWidth="1" min="20" max="20" width="5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40.5" customHeight="1">
      <c r="A2" s="1"/>
      <c r="B2" s="1"/>
      <c r="C2" s="2" t="s">
        <v>87</v>
      </c>
      <c r="D2" s="1"/>
      <c r="E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ht="5.25" customHeight="1">
      <c r="A3" s="1"/>
      <c r="B3" s="1"/>
      <c r="C3" s="1"/>
      <c r="D3" s="1"/>
      <c r="E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>
      <c r="A4" s="1"/>
      <c r="B4" s="3" t="s">
        <v>1</v>
      </c>
      <c r="C4" s="4"/>
      <c r="D4" s="5"/>
      <c r="E4" s="1"/>
      <c r="F4" s="6" t="s">
        <v>2</v>
      </c>
      <c r="G4" s="4"/>
      <c r="H4" s="4"/>
      <c r="I4" s="4"/>
      <c r="J4" s="7" t="s">
        <v>3</v>
      </c>
      <c r="K4" s="4"/>
      <c r="L4" s="4"/>
      <c r="M4" s="4"/>
      <c r="N4" s="7" t="s">
        <v>4</v>
      </c>
      <c r="O4" s="4"/>
      <c r="P4" s="4"/>
      <c r="Q4" s="8" t="s">
        <v>5</v>
      </c>
      <c r="R4" s="4"/>
      <c r="S4" s="4"/>
      <c r="T4" s="4"/>
      <c r="U4" s="7" t="s">
        <v>6</v>
      </c>
      <c r="V4" s="5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>
      <c r="A5" s="1"/>
      <c r="B5" s="9"/>
      <c r="C5" s="10"/>
      <c r="D5" s="11"/>
      <c r="E5" s="1"/>
      <c r="F5" s="12"/>
      <c r="V5" s="13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>
      <c r="A6" s="1"/>
      <c r="B6" s="15" t="s">
        <v>7</v>
      </c>
      <c r="C6" s="16">
        <v>45689.0</v>
      </c>
      <c r="D6" s="17"/>
      <c r="E6" s="1"/>
      <c r="F6" s="12"/>
      <c r="V6" s="13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>
      <c r="A7" s="1"/>
      <c r="B7" s="15" t="s">
        <v>8</v>
      </c>
      <c r="C7" s="16">
        <v>45716.0</v>
      </c>
      <c r="D7" s="17"/>
      <c r="E7" s="1"/>
      <c r="F7" s="18">
        <f>D15</f>
        <v>0</v>
      </c>
      <c r="J7" s="19">
        <f>D19</f>
        <v>0</v>
      </c>
      <c r="N7" s="20">
        <f>D17</f>
        <v>0</v>
      </c>
      <c r="Q7" s="19">
        <f>D18</f>
        <v>0</v>
      </c>
      <c r="U7" s="19">
        <f>D16</f>
        <v>0</v>
      </c>
      <c r="V7" s="13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>
      <c r="A8" s="1"/>
      <c r="B8" s="15" t="s">
        <v>9</v>
      </c>
      <c r="C8" s="21" t="s">
        <v>10</v>
      </c>
      <c r="D8" s="17"/>
      <c r="E8" s="1"/>
      <c r="F8" s="12"/>
      <c r="V8" s="13"/>
      <c r="W8" s="1"/>
      <c r="X8" s="1"/>
      <c r="Y8" s="1"/>
      <c r="AA8" s="1"/>
      <c r="AB8" s="1"/>
      <c r="AC8" s="1"/>
      <c r="AD8" s="1"/>
      <c r="AE8" s="1"/>
      <c r="AF8" s="1"/>
      <c r="AG8" s="1"/>
    </row>
    <row r="9">
      <c r="A9" s="1"/>
      <c r="B9" s="22" t="s">
        <v>11</v>
      </c>
      <c r="C9" s="188">
        <f>January!J7</f>
        <v>0</v>
      </c>
      <c r="D9" s="24"/>
      <c r="E9" s="1"/>
      <c r="F9" s="25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7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>
      <c r="A10" s="1"/>
      <c r="B10" s="28" t="s">
        <v>12</v>
      </c>
      <c r="C10" s="29">
        <f>D16+D17+D18</f>
        <v>0</v>
      </c>
      <c r="D10" s="29">
        <f>D19</f>
        <v>0</v>
      </c>
      <c r="E10" s="1"/>
      <c r="W10" s="1"/>
      <c r="X10" s="1"/>
      <c r="Y10" s="1"/>
      <c r="Z10" s="1"/>
      <c r="AA10" s="1"/>
      <c r="AB10" s="1"/>
      <c r="AC10" s="30"/>
      <c r="AD10" s="30"/>
      <c r="AE10" s="30"/>
      <c r="AF10" s="30"/>
      <c r="AG10" s="1"/>
    </row>
    <row r="11">
      <c r="A11" s="1"/>
      <c r="B11" s="31" t="s">
        <v>13</v>
      </c>
      <c r="C11" s="4"/>
      <c r="D11" s="5"/>
      <c r="E11" s="1"/>
      <c r="F11" s="32"/>
      <c r="G11" s="33"/>
      <c r="H11" s="33"/>
      <c r="I11" s="33"/>
      <c r="J11" s="33"/>
      <c r="K11" s="34"/>
      <c r="M11" s="32"/>
      <c r="N11" s="33"/>
      <c r="O11" s="33"/>
      <c r="P11" s="34"/>
      <c r="R11" s="32"/>
      <c r="S11" s="33"/>
      <c r="T11" s="33"/>
      <c r="U11" s="33"/>
      <c r="V11" s="34"/>
      <c r="W11" s="1"/>
      <c r="X11" s="1"/>
      <c r="Y11" s="1"/>
      <c r="Z11" s="1"/>
      <c r="AA11" s="1"/>
      <c r="AB11" s="1"/>
      <c r="AC11" s="30"/>
      <c r="AD11" s="30"/>
      <c r="AE11" s="30"/>
      <c r="AF11" s="30"/>
      <c r="AG11" s="1"/>
    </row>
    <row r="12">
      <c r="A12" s="1"/>
      <c r="B12" s="12"/>
      <c r="D12" s="13"/>
      <c r="E12" s="1"/>
      <c r="F12" s="35"/>
      <c r="G12" s="36"/>
      <c r="H12" s="36"/>
      <c r="I12" s="36"/>
      <c r="J12" s="36"/>
      <c r="K12" s="37"/>
      <c r="L12" s="1"/>
      <c r="M12" s="38"/>
      <c r="N12" s="1"/>
      <c r="O12" s="1"/>
      <c r="P12" s="39"/>
      <c r="Q12" s="1"/>
      <c r="R12" s="38"/>
      <c r="S12" s="1"/>
      <c r="T12" s="1"/>
      <c r="U12" s="1"/>
      <c r="V12" s="39"/>
      <c r="W12" s="1"/>
      <c r="X12" s="1"/>
      <c r="Y12" s="1"/>
      <c r="Z12" s="1"/>
      <c r="AA12" s="1"/>
      <c r="AB12" s="1"/>
      <c r="AC12" s="30"/>
      <c r="AD12" s="28" t="s">
        <v>14</v>
      </c>
      <c r="AE12" s="29">
        <f>V49</f>
        <v>0</v>
      </c>
      <c r="AF12" s="30"/>
      <c r="AG12" s="1"/>
    </row>
    <row r="13">
      <c r="A13" s="1"/>
      <c r="B13" s="40"/>
      <c r="C13" s="41" t="s">
        <v>15</v>
      </c>
      <c r="D13" s="42" t="s">
        <v>16</v>
      </c>
      <c r="E13" s="1"/>
      <c r="F13" s="43"/>
      <c r="G13" s="36"/>
      <c r="H13" s="36"/>
      <c r="I13" s="36"/>
      <c r="J13" s="36"/>
      <c r="K13" s="37"/>
      <c r="L13" s="1"/>
      <c r="M13" s="38"/>
      <c r="N13" s="1"/>
      <c r="O13" s="1"/>
      <c r="P13" s="39"/>
      <c r="Q13" s="1"/>
      <c r="R13" s="38"/>
      <c r="S13" s="1"/>
      <c r="T13" s="1"/>
      <c r="U13" s="1"/>
      <c r="V13" s="39"/>
      <c r="W13" s="1"/>
      <c r="X13" s="1"/>
      <c r="Y13" s="1"/>
      <c r="Z13" s="1"/>
      <c r="AA13" s="1"/>
      <c r="AB13" s="1"/>
      <c r="AC13" s="30"/>
      <c r="AD13" s="28" t="s">
        <v>17</v>
      </c>
      <c r="AE13" s="29">
        <f>J63</f>
        <v>0</v>
      </c>
      <c r="AF13" s="30"/>
      <c r="AG13" s="1"/>
    </row>
    <row r="14">
      <c r="A14" s="1"/>
      <c r="B14" s="44" t="s">
        <v>11</v>
      </c>
      <c r="C14" s="45">
        <f>C9</f>
        <v>0</v>
      </c>
      <c r="D14" s="46">
        <f>C9</f>
        <v>0</v>
      </c>
      <c r="E14" s="47" t="s">
        <v>18</v>
      </c>
      <c r="F14" s="43"/>
      <c r="G14" s="36"/>
      <c r="H14" s="36"/>
      <c r="I14" s="36"/>
      <c r="J14" s="36"/>
      <c r="K14" s="37"/>
      <c r="L14" s="1"/>
      <c r="M14" s="38"/>
      <c r="N14" s="1"/>
      <c r="O14" s="1"/>
      <c r="P14" s="39"/>
      <c r="Q14" s="1"/>
      <c r="R14" s="38"/>
      <c r="S14" s="1"/>
      <c r="T14" s="1"/>
      <c r="U14" s="1"/>
      <c r="V14" s="39"/>
      <c r="W14" s="1"/>
      <c r="X14" s="1"/>
      <c r="Y14" s="1"/>
      <c r="Z14" s="1"/>
      <c r="AA14" s="1"/>
      <c r="AB14" s="1"/>
      <c r="AC14" s="30"/>
      <c r="AD14" s="28" t="s">
        <v>19</v>
      </c>
      <c r="AE14" s="48">
        <f>O63</f>
        <v>0</v>
      </c>
      <c r="AF14" s="30"/>
      <c r="AG14" s="1"/>
    </row>
    <row r="15">
      <c r="A15" s="1"/>
      <c r="B15" s="15" t="s">
        <v>20</v>
      </c>
      <c r="C15" s="49">
        <f t="shared" ref="C15:D15" si="1">C29+C39</f>
        <v>0</v>
      </c>
      <c r="D15" s="50">
        <f t="shared" si="1"/>
        <v>0</v>
      </c>
      <c r="E15" s="1"/>
      <c r="F15" s="43"/>
      <c r="G15" s="51"/>
      <c r="H15" s="51"/>
      <c r="I15" s="52">
        <f>D19</f>
        <v>0</v>
      </c>
      <c r="J15" s="51"/>
      <c r="K15" s="37"/>
      <c r="L15" s="1"/>
      <c r="M15" s="38"/>
      <c r="N15" s="1"/>
      <c r="O15" s="1"/>
      <c r="P15" s="39"/>
      <c r="Q15" s="1"/>
      <c r="R15" s="38"/>
      <c r="S15" s="1"/>
      <c r="T15" s="1"/>
      <c r="U15" s="1"/>
      <c r="V15" s="39"/>
      <c r="W15" s="1"/>
      <c r="X15" s="1"/>
      <c r="Y15" s="1"/>
      <c r="Z15" s="1"/>
      <c r="AA15" s="1"/>
      <c r="AB15" s="1"/>
      <c r="AC15" s="30"/>
      <c r="AD15" s="28" t="s">
        <v>21</v>
      </c>
      <c r="AE15" s="29">
        <f>D63</f>
        <v>0</v>
      </c>
      <c r="AF15" s="30"/>
      <c r="AG15" s="1"/>
    </row>
    <row r="16">
      <c r="A16" s="1"/>
      <c r="B16" s="15" t="s">
        <v>6</v>
      </c>
      <c r="C16" s="49">
        <f t="shared" ref="C16:D16" si="2">C63</f>
        <v>0</v>
      </c>
      <c r="D16" s="50">
        <f t="shared" si="2"/>
        <v>0</v>
      </c>
      <c r="E16" s="1"/>
      <c r="F16" s="43"/>
      <c r="G16" s="51"/>
      <c r="H16" s="51"/>
      <c r="J16" s="51"/>
      <c r="K16" s="37"/>
      <c r="L16" s="1"/>
      <c r="M16" s="38"/>
      <c r="N16" s="1"/>
      <c r="O16" s="1"/>
      <c r="P16" s="39"/>
      <c r="Q16" s="1"/>
      <c r="R16" s="38"/>
      <c r="S16" s="1"/>
      <c r="T16" s="1"/>
      <c r="U16" s="1"/>
      <c r="V16" s="39"/>
      <c r="W16" s="1"/>
      <c r="X16" s="1"/>
      <c r="Y16" s="1"/>
      <c r="Z16" s="1"/>
      <c r="AA16" s="1"/>
      <c r="AB16" s="1"/>
      <c r="AC16" s="30"/>
      <c r="AD16" s="30"/>
      <c r="AE16" s="30"/>
      <c r="AF16" s="30"/>
      <c r="AG16" s="1"/>
    </row>
    <row r="17">
      <c r="A17" s="1"/>
      <c r="B17" s="15" t="s">
        <v>4</v>
      </c>
      <c r="C17" s="49">
        <f t="shared" ref="C17:D17" si="3">I63+N63</f>
        <v>0</v>
      </c>
      <c r="D17" s="50">
        <f t="shared" si="3"/>
        <v>0</v>
      </c>
      <c r="E17" s="1"/>
      <c r="F17" s="43"/>
      <c r="G17" s="36"/>
      <c r="H17" s="36"/>
      <c r="I17" s="36"/>
      <c r="J17" s="36"/>
      <c r="K17" s="37"/>
      <c r="L17" s="1"/>
      <c r="M17" s="38"/>
      <c r="N17" s="1"/>
      <c r="O17" s="1"/>
      <c r="P17" s="39"/>
      <c r="Q17" s="1"/>
      <c r="R17" s="38"/>
      <c r="S17" s="1"/>
      <c r="T17" s="1"/>
      <c r="U17" s="1"/>
      <c r="V17" s="39"/>
      <c r="W17" s="1"/>
      <c r="X17" s="1"/>
      <c r="Y17" s="1"/>
      <c r="Z17" s="1"/>
      <c r="AA17" s="1"/>
      <c r="AB17" s="1"/>
      <c r="AC17" s="30"/>
      <c r="AD17" s="30"/>
      <c r="AE17" s="30"/>
      <c r="AF17" s="30"/>
      <c r="AG17" s="1"/>
    </row>
    <row r="18">
      <c r="A18" s="1"/>
      <c r="B18" s="53" t="s">
        <v>22</v>
      </c>
      <c r="C18" s="54">
        <f t="shared" ref="C18:D18" si="4">U49</f>
        <v>0</v>
      </c>
      <c r="D18" s="55">
        <f t="shared" si="4"/>
        <v>0</v>
      </c>
      <c r="E18" s="1"/>
      <c r="F18" s="43"/>
      <c r="G18" s="36"/>
      <c r="H18" s="36"/>
      <c r="I18" s="36"/>
      <c r="J18" s="36"/>
      <c r="K18" s="37"/>
      <c r="L18" s="1"/>
      <c r="M18" s="38"/>
      <c r="N18" s="1"/>
      <c r="O18" s="1"/>
      <c r="P18" s="39"/>
      <c r="Q18" s="1"/>
      <c r="R18" s="38"/>
      <c r="S18" s="1"/>
      <c r="T18" s="1"/>
      <c r="U18" s="1"/>
      <c r="V18" s="39"/>
      <c r="W18" s="1"/>
      <c r="X18" s="1"/>
      <c r="Y18" s="1"/>
      <c r="Z18" s="1"/>
      <c r="AA18" s="1"/>
      <c r="AB18" s="1"/>
      <c r="AC18" s="30"/>
      <c r="AD18" s="30"/>
      <c r="AE18" s="30"/>
      <c r="AF18" s="30"/>
      <c r="AG18" s="1"/>
    </row>
    <row r="19">
      <c r="A19" s="1"/>
      <c r="B19" s="56" t="s">
        <v>23</v>
      </c>
      <c r="C19" s="57">
        <f>C14+C15-C16-C17-C18</f>
        <v>0</v>
      </c>
      <c r="D19" s="58">
        <f>D14+D15-D17-D18-D16</f>
        <v>0</v>
      </c>
      <c r="E19" s="1"/>
      <c r="F19" s="59"/>
      <c r="G19" s="60"/>
      <c r="H19" s="60"/>
      <c r="I19" s="60"/>
      <c r="J19" s="60"/>
      <c r="K19" s="61"/>
      <c r="L19" s="1"/>
      <c r="M19" s="62"/>
      <c r="N19" s="63"/>
      <c r="O19" s="63"/>
      <c r="P19" s="64"/>
      <c r="Q19" s="1"/>
      <c r="R19" s="62"/>
      <c r="S19" s="63"/>
      <c r="T19" s="63"/>
      <c r="U19" s="63"/>
      <c r="V19" s="64"/>
      <c r="W19" s="1"/>
      <c r="X19" s="1"/>
      <c r="Y19" s="1"/>
      <c r="Z19" s="1"/>
      <c r="AA19" s="1"/>
      <c r="AB19" s="1"/>
      <c r="AC19" s="30"/>
      <c r="AD19" s="30"/>
      <c r="AE19" s="30"/>
      <c r="AF19" s="30"/>
      <c r="AG19" s="1"/>
    </row>
    <row r="20">
      <c r="A20" s="1"/>
      <c r="B20" s="65"/>
      <c r="C20" s="66"/>
      <c r="D20" s="15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30"/>
      <c r="AD20" s="30"/>
      <c r="AE20" s="30"/>
      <c r="AF20" s="30"/>
      <c r="AG20" s="1"/>
    </row>
    <row r="21">
      <c r="A21" s="1"/>
      <c r="B21" s="67" t="s">
        <v>24</v>
      </c>
      <c r="C21" s="4"/>
      <c r="D21" s="5"/>
      <c r="E21" s="1"/>
      <c r="F21" s="68" t="s">
        <v>25</v>
      </c>
      <c r="G21" s="4"/>
      <c r="H21" s="4"/>
      <c r="I21" s="4"/>
      <c r="J21" s="4"/>
      <c r="K21" s="69"/>
      <c r="L21" s="1"/>
      <c r="M21" s="70" t="s">
        <v>26</v>
      </c>
      <c r="N21" s="4"/>
      <c r="O21" s="4"/>
      <c r="P21" s="5"/>
      <c r="Q21" s="1"/>
      <c r="R21" s="71" t="s">
        <v>22</v>
      </c>
      <c r="S21" s="4"/>
      <c r="T21" s="4"/>
      <c r="U21" s="4"/>
      <c r="V21" s="5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>
      <c r="A22" s="1"/>
      <c r="B22" s="12"/>
      <c r="D22" s="13"/>
      <c r="E22" s="1"/>
      <c r="F22" s="25"/>
      <c r="G22" s="26"/>
      <c r="H22" s="26"/>
      <c r="I22" s="26"/>
      <c r="J22" s="26"/>
      <c r="K22" s="72"/>
      <c r="L22" s="1"/>
      <c r="M22" s="12"/>
      <c r="P22" s="13"/>
      <c r="Q22" s="1"/>
      <c r="R22" s="12"/>
      <c r="V22" s="13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>
      <c r="A23" s="1"/>
      <c r="B23" s="73"/>
      <c r="C23" s="74" t="s">
        <v>27</v>
      </c>
      <c r="D23" s="75" t="s">
        <v>16</v>
      </c>
      <c r="E23" s="1"/>
      <c r="F23" s="76"/>
      <c r="G23" s="77"/>
      <c r="H23" s="77" t="s">
        <v>28</v>
      </c>
      <c r="I23" s="77" t="s">
        <v>15</v>
      </c>
      <c r="J23" s="77" t="s">
        <v>16</v>
      </c>
      <c r="K23" s="78" t="s">
        <v>23</v>
      </c>
      <c r="L23" s="1"/>
      <c r="M23" s="79"/>
      <c r="N23" s="80" t="s">
        <v>15</v>
      </c>
      <c r="O23" s="80" t="s">
        <v>16</v>
      </c>
      <c r="P23" s="81" t="s">
        <v>23</v>
      </c>
      <c r="Q23" s="1"/>
      <c r="R23" s="82"/>
      <c r="S23" s="83"/>
      <c r="T23" s="83" t="s">
        <v>28</v>
      </c>
      <c r="U23" s="83" t="s">
        <v>15</v>
      </c>
      <c r="V23" s="84" t="s">
        <v>16</v>
      </c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>
      <c r="A24" s="1"/>
      <c r="B24" s="44" t="s">
        <v>29</v>
      </c>
      <c r="C24" s="85"/>
      <c r="D24" s="86"/>
      <c r="E24" s="1"/>
      <c r="F24" s="44" t="b">
        <v>0</v>
      </c>
      <c r="G24" s="187"/>
      <c r="H24" s="88"/>
      <c r="I24" s="85"/>
      <c r="J24" s="85"/>
      <c r="K24" s="89" t="str">
        <f t="shared" ref="K24:K36" si="5">if(I24="",J24,(if(J24="","",I24-J24)))</f>
        <v/>
      </c>
      <c r="L24" s="1"/>
      <c r="M24" s="44"/>
      <c r="N24" s="85"/>
      <c r="O24" s="85"/>
      <c r="P24" s="46" t="str">
        <f t="shared" ref="P24:P62" si="6">if(N24="",O24,(if(O24="","",N24-O24)))</f>
        <v/>
      </c>
      <c r="Q24" s="1"/>
      <c r="R24" s="44" t="b">
        <v>0</v>
      </c>
      <c r="S24" s="90"/>
      <c r="T24" s="88"/>
      <c r="U24" s="85"/>
      <c r="V24" s="86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>
      <c r="A25" s="1"/>
      <c r="B25" s="15" t="s">
        <v>33</v>
      </c>
      <c r="C25" s="91"/>
      <c r="D25" s="92"/>
      <c r="E25" s="1"/>
      <c r="F25" s="15" t="b">
        <v>0</v>
      </c>
      <c r="G25" s="93"/>
      <c r="H25" s="94"/>
      <c r="I25" s="91"/>
      <c r="J25" s="91"/>
      <c r="K25" s="89" t="str">
        <f t="shared" si="5"/>
        <v/>
      </c>
      <c r="L25" s="1"/>
      <c r="M25" s="15"/>
      <c r="N25" s="91"/>
      <c r="O25" s="91"/>
      <c r="P25" s="46" t="str">
        <f t="shared" si="6"/>
        <v/>
      </c>
      <c r="Q25" s="1"/>
      <c r="R25" s="15" t="b">
        <v>0</v>
      </c>
      <c r="S25" s="21"/>
      <c r="T25" s="94"/>
      <c r="U25" s="91"/>
      <c r="V25" s="92"/>
      <c r="W25" s="1"/>
      <c r="X25" s="1"/>
      <c r="Z25" s="1"/>
      <c r="AA25" s="1"/>
      <c r="AB25" s="1"/>
      <c r="AC25" s="1"/>
      <c r="AD25" s="1"/>
      <c r="AE25" s="1"/>
      <c r="AF25" s="1"/>
      <c r="AG25" s="1"/>
    </row>
    <row r="26">
      <c r="A26" s="1"/>
      <c r="B26" s="15" t="s">
        <v>37</v>
      </c>
      <c r="C26" s="91"/>
      <c r="D26" s="92"/>
      <c r="E26" s="1"/>
      <c r="F26" s="15" t="b">
        <v>0</v>
      </c>
      <c r="G26" s="93"/>
      <c r="H26" s="94"/>
      <c r="I26" s="91"/>
      <c r="J26" s="91"/>
      <c r="K26" s="89" t="str">
        <f t="shared" si="5"/>
        <v/>
      </c>
      <c r="L26" s="1"/>
      <c r="M26" s="15"/>
      <c r="N26" s="91"/>
      <c r="O26" s="91"/>
      <c r="P26" s="46" t="str">
        <f t="shared" si="6"/>
        <v/>
      </c>
      <c r="Q26" s="1"/>
      <c r="R26" s="15" t="b">
        <v>0</v>
      </c>
      <c r="S26" s="21"/>
      <c r="T26" s="94"/>
      <c r="U26" s="91"/>
      <c r="V26" s="92"/>
      <c r="W26" s="1"/>
      <c r="X26" s="1"/>
      <c r="Z26" s="1"/>
      <c r="AA26" s="1"/>
      <c r="AB26" s="1"/>
      <c r="AC26" s="1"/>
      <c r="AD26" s="1"/>
      <c r="AE26" s="1"/>
      <c r="AF26" s="1"/>
      <c r="AG26" s="1"/>
    </row>
    <row r="27">
      <c r="A27" s="1"/>
      <c r="B27" s="15" t="s">
        <v>41</v>
      </c>
      <c r="C27" s="91"/>
      <c r="D27" s="92"/>
      <c r="E27" s="1"/>
      <c r="F27" s="15" t="b">
        <v>0</v>
      </c>
      <c r="G27" s="93"/>
      <c r="H27" s="94"/>
      <c r="I27" s="91"/>
      <c r="J27" s="95"/>
      <c r="K27" s="89" t="str">
        <f t="shared" si="5"/>
        <v/>
      </c>
      <c r="L27" s="1"/>
      <c r="M27" s="15"/>
      <c r="N27" s="91"/>
      <c r="O27" s="91"/>
      <c r="P27" s="46" t="str">
        <f t="shared" si="6"/>
        <v/>
      </c>
      <c r="Q27" s="1"/>
      <c r="R27" s="15" t="b">
        <v>0</v>
      </c>
      <c r="S27" s="21"/>
      <c r="T27" s="94"/>
      <c r="U27" s="91"/>
      <c r="V27" s="92"/>
      <c r="W27" s="1"/>
      <c r="X27" s="1"/>
      <c r="Z27" s="1"/>
      <c r="AA27" s="1"/>
      <c r="AB27" s="1"/>
      <c r="AC27" s="1"/>
      <c r="AD27" s="1"/>
      <c r="AE27" s="1"/>
      <c r="AF27" s="1"/>
      <c r="AG27" s="1"/>
    </row>
    <row r="28">
      <c r="A28" s="1"/>
      <c r="B28" s="53" t="s">
        <v>45</v>
      </c>
      <c r="C28" s="96"/>
      <c r="D28" s="97"/>
      <c r="E28" s="1"/>
      <c r="F28" s="15" t="b">
        <v>0</v>
      </c>
      <c r="G28" s="93"/>
      <c r="H28" s="94"/>
      <c r="I28" s="91"/>
      <c r="J28" s="91"/>
      <c r="K28" s="89" t="str">
        <f t="shared" si="5"/>
        <v/>
      </c>
      <c r="L28" s="1"/>
      <c r="M28" s="15"/>
      <c r="N28" s="91"/>
      <c r="O28" s="91"/>
      <c r="P28" s="46" t="str">
        <f t="shared" si="6"/>
        <v/>
      </c>
      <c r="Q28" s="1"/>
      <c r="R28" s="98" t="b">
        <v>0</v>
      </c>
      <c r="S28" s="90"/>
      <c r="T28" s="94"/>
      <c r="U28" s="99"/>
      <c r="V28" s="92"/>
      <c r="W28" s="1"/>
      <c r="X28" s="1"/>
      <c r="Z28" s="1"/>
      <c r="AA28" s="1"/>
      <c r="AB28" s="1"/>
      <c r="AC28" s="1"/>
      <c r="AD28" s="1"/>
      <c r="AE28" s="1"/>
      <c r="AF28" s="1"/>
      <c r="AG28" s="1"/>
    </row>
    <row r="29">
      <c r="A29" s="1"/>
      <c r="B29" s="100" t="s">
        <v>48</v>
      </c>
      <c r="C29" s="101">
        <f t="shared" ref="C29:D29" si="7">sum(C24:C28)</f>
        <v>0</v>
      </c>
      <c r="D29" s="102">
        <f t="shared" si="7"/>
        <v>0</v>
      </c>
      <c r="E29" s="1"/>
      <c r="F29" s="15" t="b">
        <v>0</v>
      </c>
      <c r="G29" s="93"/>
      <c r="H29" s="94"/>
      <c r="I29" s="91"/>
      <c r="J29" s="91"/>
      <c r="K29" s="89" t="str">
        <f t="shared" si="5"/>
        <v/>
      </c>
      <c r="L29" s="1"/>
      <c r="M29" s="15"/>
      <c r="N29" s="91"/>
      <c r="O29" s="91"/>
      <c r="P29" s="46" t="str">
        <f t="shared" si="6"/>
        <v/>
      </c>
      <c r="Q29" s="1"/>
      <c r="R29" s="98" t="b">
        <v>0</v>
      </c>
      <c r="S29" s="90"/>
      <c r="T29" s="103"/>
      <c r="U29" s="99"/>
      <c r="V29" s="104"/>
      <c r="W29" s="1"/>
      <c r="X29" s="1"/>
      <c r="Y29" s="1"/>
      <c r="Z29" s="1"/>
      <c r="AA29" s="105"/>
      <c r="AB29" s="1"/>
      <c r="AC29" s="1"/>
      <c r="AD29" s="1"/>
      <c r="AE29" s="1"/>
      <c r="AF29" s="1"/>
      <c r="AG29" s="1"/>
    </row>
    <row r="30">
      <c r="A30" s="1"/>
      <c r="B30" s="1"/>
      <c r="C30" s="1"/>
      <c r="D30" s="1"/>
      <c r="E30" s="1"/>
      <c r="F30" s="15" t="b">
        <v>0</v>
      </c>
      <c r="G30" s="93"/>
      <c r="H30" s="94"/>
      <c r="I30" s="91"/>
      <c r="J30" s="91"/>
      <c r="K30" s="89" t="str">
        <f t="shared" si="5"/>
        <v/>
      </c>
      <c r="L30" s="1"/>
      <c r="M30" s="15"/>
      <c r="N30" s="91"/>
      <c r="O30" s="91"/>
      <c r="P30" s="46" t="str">
        <f t="shared" si="6"/>
        <v/>
      </c>
      <c r="Q30" s="1"/>
      <c r="R30" s="98" t="b">
        <v>0</v>
      </c>
      <c r="S30" s="90"/>
      <c r="T30" s="103"/>
      <c r="U30" s="99"/>
      <c r="V30" s="104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>
      <c r="A31" s="1"/>
      <c r="B31" s="106" t="s">
        <v>53</v>
      </c>
      <c r="C31" s="4"/>
      <c r="D31" s="5"/>
      <c r="E31" s="1"/>
      <c r="F31" s="15" t="b">
        <v>0</v>
      </c>
      <c r="G31" s="93"/>
      <c r="H31" s="94"/>
      <c r="I31" s="91"/>
      <c r="J31" s="91"/>
      <c r="K31" s="89" t="str">
        <f t="shared" si="5"/>
        <v/>
      </c>
      <c r="L31" s="1"/>
      <c r="M31" s="15"/>
      <c r="N31" s="91"/>
      <c r="O31" s="91"/>
      <c r="P31" s="46" t="str">
        <f t="shared" si="6"/>
        <v/>
      </c>
      <c r="Q31" s="1"/>
      <c r="R31" s="98" t="b">
        <v>0</v>
      </c>
      <c r="S31" s="90"/>
      <c r="T31" s="103"/>
      <c r="U31" s="99"/>
      <c r="V31" s="104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>
      <c r="A32" s="1"/>
      <c r="B32" s="12"/>
      <c r="D32" s="13"/>
      <c r="E32" s="1"/>
      <c r="F32" s="15" t="b">
        <v>0</v>
      </c>
      <c r="G32" s="93"/>
      <c r="H32" s="94"/>
      <c r="I32" s="91"/>
      <c r="J32" s="91"/>
      <c r="K32" s="89" t="str">
        <f t="shared" si="5"/>
        <v/>
      </c>
      <c r="L32" s="1"/>
      <c r="M32" s="15"/>
      <c r="N32" s="107"/>
      <c r="O32" s="91"/>
      <c r="P32" s="46" t="str">
        <f t="shared" si="6"/>
        <v/>
      </c>
      <c r="Q32" s="1"/>
      <c r="R32" s="98" t="b">
        <v>0</v>
      </c>
      <c r="S32" s="90"/>
      <c r="T32" s="103"/>
      <c r="U32" s="99"/>
      <c r="V32" s="104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>
      <c r="A33" s="1"/>
      <c r="B33" s="108"/>
      <c r="C33" s="109" t="s">
        <v>27</v>
      </c>
      <c r="D33" s="110" t="s">
        <v>16</v>
      </c>
      <c r="E33" s="1"/>
      <c r="F33" s="15" t="b">
        <v>0</v>
      </c>
      <c r="G33" s="93"/>
      <c r="H33" s="94"/>
      <c r="I33" s="91"/>
      <c r="J33" s="91"/>
      <c r="K33" s="89" t="str">
        <f t="shared" si="5"/>
        <v/>
      </c>
      <c r="L33" s="1"/>
      <c r="M33" s="15"/>
      <c r="N33" s="91"/>
      <c r="O33" s="91"/>
      <c r="P33" s="46" t="str">
        <f t="shared" si="6"/>
        <v/>
      </c>
      <c r="Q33" s="1"/>
      <c r="R33" s="98" t="b">
        <v>0</v>
      </c>
      <c r="S33" s="90"/>
      <c r="T33" s="103"/>
      <c r="U33" s="99"/>
      <c r="V33" s="104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>
      <c r="A34" s="1"/>
      <c r="B34" s="15" t="s">
        <v>59</v>
      </c>
      <c r="C34" s="91"/>
      <c r="D34" s="92"/>
      <c r="E34" s="1"/>
      <c r="F34" s="15" t="b">
        <v>0</v>
      </c>
      <c r="G34" s="111"/>
      <c r="H34" s="94"/>
      <c r="I34" s="91"/>
      <c r="J34" s="91"/>
      <c r="K34" s="89" t="str">
        <f t="shared" si="5"/>
        <v/>
      </c>
      <c r="L34" s="1"/>
      <c r="M34" s="15"/>
      <c r="N34" s="91"/>
      <c r="O34" s="91"/>
      <c r="P34" s="46" t="str">
        <f t="shared" si="6"/>
        <v/>
      </c>
      <c r="Q34" s="1"/>
      <c r="R34" s="98" t="b">
        <v>0</v>
      </c>
      <c r="S34" s="90"/>
      <c r="T34" s="103"/>
      <c r="U34" s="99"/>
      <c r="V34" s="104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>
      <c r="A35" s="1"/>
      <c r="B35" s="15" t="s">
        <v>62</v>
      </c>
      <c r="C35" s="91"/>
      <c r="D35" s="92"/>
      <c r="E35" s="1"/>
      <c r="F35" s="15" t="b">
        <v>0</v>
      </c>
      <c r="G35" s="93"/>
      <c r="H35" s="94"/>
      <c r="I35" s="91"/>
      <c r="J35" s="91"/>
      <c r="K35" s="89" t="str">
        <f t="shared" si="5"/>
        <v/>
      </c>
      <c r="L35" s="1"/>
      <c r="M35" s="15"/>
      <c r="N35" s="91"/>
      <c r="O35" s="91"/>
      <c r="P35" s="46" t="str">
        <f t="shared" si="6"/>
        <v/>
      </c>
      <c r="Q35" s="1"/>
      <c r="R35" s="98" t="b">
        <v>0</v>
      </c>
      <c r="S35" s="90"/>
      <c r="T35" s="103"/>
      <c r="U35" s="99"/>
      <c r="V35" s="104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>
      <c r="A36" s="1"/>
      <c r="B36" s="15" t="s">
        <v>64</v>
      </c>
      <c r="C36" s="91"/>
      <c r="D36" s="92"/>
      <c r="E36" s="1"/>
      <c r="F36" s="15" t="b">
        <v>0</v>
      </c>
      <c r="G36" s="93"/>
      <c r="H36" s="94"/>
      <c r="I36" s="91"/>
      <c r="J36" s="91"/>
      <c r="K36" s="89" t="str">
        <f t="shared" si="5"/>
        <v/>
      </c>
      <c r="L36" s="1"/>
      <c r="M36" s="15"/>
      <c r="N36" s="91"/>
      <c r="O36" s="91"/>
      <c r="P36" s="46" t="str">
        <f t="shared" si="6"/>
        <v/>
      </c>
      <c r="Q36" s="1"/>
      <c r="R36" s="98" t="b">
        <v>0</v>
      </c>
      <c r="S36" s="90"/>
      <c r="T36" s="103"/>
      <c r="U36" s="99"/>
      <c r="V36" s="104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>
      <c r="A37" s="1"/>
      <c r="B37" s="15" t="s">
        <v>66</v>
      </c>
      <c r="C37" s="91"/>
      <c r="D37" s="92"/>
      <c r="E37" s="1"/>
      <c r="F37" s="98" t="b">
        <v>0</v>
      </c>
      <c r="G37" s="112"/>
      <c r="H37" s="103"/>
      <c r="I37" s="91"/>
      <c r="J37" s="91"/>
      <c r="K37" s="89"/>
      <c r="L37" s="1"/>
      <c r="M37" s="98"/>
      <c r="N37" s="99"/>
      <c r="O37" s="99"/>
      <c r="P37" s="46" t="str">
        <f t="shared" si="6"/>
        <v/>
      </c>
      <c r="Q37" s="1"/>
      <c r="R37" s="98" t="b">
        <v>0</v>
      </c>
      <c r="S37" s="90"/>
      <c r="T37" s="103"/>
      <c r="U37" s="99"/>
      <c r="V37" s="104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>
      <c r="A38" s="1"/>
      <c r="B38" s="15" t="s">
        <v>67</v>
      </c>
      <c r="C38" s="91"/>
      <c r="D38" s="92"/>
      <c r="E38" s="1"/>
      <c r="F38" s="98" t="b">
        <v>0</v>
      </c>
      <c r="G38" s="112"/>
      <c r="H38" s="103"/>
      <c r="I38" s="99"/>
      <c r="J38" s="91"/>
      <c r="K38" s="89" t="str">
        <f t="shared" ref="K38:K62" si="8">if(I38="",J38,(if(J38="","",I38-J38)))</f>
        <v/>
      </c>
      <c r="L38" s="1"/>
      <c r="M38" s="98"/>
      <c r="N38" s="91"/>
      <c r="O38" s="91"/>
      <c r="P38" s="46" t="str">
        <f t="shared" si="6"/>
        <v/>
      </c>
      <c r="Q38" s="1"/>
      <c r="R38" s="98" t="b">
        <v>0</v>
      </c>
      <c r="S38" s="90"/>
      <c r="T38" s="103"/>
      <c r="U38" s="99"/>
      <c r="V38" s="104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>
      <c r="A39" s="1"/>
      <c r="B39" s="113" t="s">
        <v>48</v>
      </c>
      <c r="C39" s="114">
        <f>SUM(C34:C38)</f>
        <v>0</v>
      </c>
      <c r="D39" s="115">
        <f>sum(D34:D38)</f>
        <v>0</v>
      </c>
      <c r="E39" s="1"/>
      <c r="F39" s="98" t="b">
        <v>0</v>
      </c>
      <c r="G39" s="112"/>
      <c r="H39" s="103"/>
      <c r="I39" s="99"/>
      <c r="J39" s="91"/>
      <c r="K39" s="89" t="str">
        <f t="shared" si="8"/>
        <v/>
      </c>
      <c r="L39" s="1"/>
      <c r="M39" s="98"/>
      <c r="N39" s="91"/>
      <c r="O39" s="91"/>
      <c r="P39" s="46" t="str">
        <f t="shared" si="6"/>
        <v/>
      </c>
      <c r="Q39" s="1"/>
      <c r="R39" s="98" t="b">
        <v>0</v>
      </c>
      <c r="S39" s="90"/>
      <c r="T39" s="103"/>
      <c r="U39" s="99"/>
      <c r="V39" s="104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>
      <c r="A40" s="1"/>
      <c r="B40" s="116"/>
      <c r="C40" s="116"/>
      <c r="D40" s="116"/>
      <c r="E40" s="1"/>
      <c r="F40" s="98" t="b">
        <v>0</v>
      </c>
      <c r="G40" s="112"/>
      <c r="H40" s="103"/>
      <c r="I40" s="99"/>
      <c r="J40" s="91"/>
      <c r="K40" s="89" t="str">
        <f t="shared" si="8"/>
        <v/>
      </c>
      <c r="L40" s="1"/>
      <c r="M40" s="98"/>
      <c r="N40" s="99"/>
      <c r="O40" s="99"/>
      <c r="P40" s="46" t="str">
        <f t="shared" si="6"/>
        <v/>
      </c>
      <c r="Q40" s="1"/>
      <c r="R40" s="98" t="b">
        <v>0</v>
      </c>
      <c r="S40" s="90"/>
      <c r="T40" s="103"/>
      <c r="U40" s="99"/>
      <c r="V40" s="104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>
      <c r="A41" s="1"/>
      <c r="B41" s="117" t="s">
        <v>68</v>
      </c>
      <c r="C41" s="4"/>
      <c r="D41" s="5"/>
      <c r="E41" s="1"/>
      <c r="F41" s="98" t="b">
        <v>0</v>
      </c>
      <c r="G41" s="112"/>
      <c r="H41" s="103"/>
      <c r="I41" s="99"/>
      <c r="J41" s="91"/>
      <c r="K41" s="89" t="str">
        <f t="shared" si="8"/>
        <v/>
      </c>
      <c r="L41" s="1"/>
      <c r="M41" s="98"/>
      <c r="N41" s="99"/>
      <c r="O41" s="99"/>
      <c r="P41" s="46" t="str">
        <f t="shared" si="6"/>
        <v/>
      </c>
      <c r="Q41" s="1"/>
      <c r="R41" s="98" t="b">
        <v>0</v>
      </c>
      <c r="S41" s="90"/>
      <c r="T41" s="103"/>
      <c r="U41" s="99"/>
      <c r="V41" s="104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>
      <c r="A42" s="1"/>
      <c r="B42" s="12"/>
      <c r="D42" s="13"/>
      <c r="E42" s="1"/>
      <c r="F42" s="98" t="b">
        <v>0</v>
      </c>
      <c r="G42" s="112"/>
      <c r="H42" s="103"/>
      <c r="I42" s="99"/>
      <c r="J42" s="99"/>
      <c r="K42" s="89" t="str">
        <f t="shared" si="8"/>
        <v/>
      </c>
      <c r="L42" s="1"/>
      <c r="M42" s="98"/>
      <c r="N42" s="91"/>
      <c r="O42" s="91"/>
      <c r="P42" s="46" t="str">
        <f t="shared" si="6"/>
        <v/>
      </c>
      <c r="Q42" s="1"/>
      <c r="R42" s="98" t="b">
        <v>0</v>
      </c>
      <c r="S42" s="90"/>
      <c r="T42" s="103"/>
      <c r="U42" s="99"/>
      <c r="V42" s="104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>
      <c r="A43" s="1"/>
      <c r="B43" s="118"/>
      <c r="C43" s="119" t="s">
        <v>15</v>
      </c>
      <c r="D43" s="120" t="s">
        <v>16</v>
      </c>
      <c r="E43" s="1"/>
      <c r="F43" s="98" t="b">
        <v>0</v>
      </c>
      <c r="G43" s="112"/>
      <c r="H43" s="103"/>
      <c r="I43" s="99"/>
      <c r="J43" s="91"/>
      <c r="K43" s="89" t="str">
        <f t="shared" si="8"/>
        <v/>
      </c>
      <c r="L43" s="1"/>
      <c r="M43" s="98"/>
      <c r="N43" s="91"/>
      <c r="O43" s="91"/>
      <c r="P43" s="46" t="str">
        <f t="shared" si="6"/>
        <v/>
      </c>
      <c r="Q43" s="1"/>
      <c r="R43" s="98" t="b">
        <v>0</v>
      </c>
      <c r="S43" s="90"/>
      <c r="T43" s="103"/>
      <c r="U43" s="99"/>
      <c r="V43" s="104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>
      <c r="A44" s="1"/>
      <c r="B44" s="44" t="s">
        <v>57</v>
      </c>
      <c r="C44" s="85"/>
      <c r="D44" s="86"/>
      <c r="E44" s="1"/>
      <c r="F44" s="98" t="b">
        <v>0</v>
      </c>
      <c r="G44" s="112"/>
      <c r="H44" s="103"/>
      <c r="I44" s="99"/>
      <c r="J44" s="91"/>
      <c r="K44" s="89" t="str">
        <f t="shared" si="8"/>
        <v/>
      </c>
      <c r="L44" s="1"/>
      <c r="M44" s="98"/>
      <c r="N44" s="99"/>
      <c r="O44" s="91"/>
      <c r="P44" s="46" t="str">
        <f t="shared" si="6"/>
        <v/>
      </c>
      <c r="Q44" s="1"/>
      <c r="R44" s="98" t="b">
        <v>0</v>
      </c>
      <c r="S44" s="90"/>
      <c r="T44" s="103"/>
      <c r="U44" s="99"/>
      <c r="V44" s="104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>
      <c r="A45" s="1"/>
      <c r="B45" s="15" t="s">
        <v>69</v>
      </c>
      <c r="C45" s="91"/>
      <c r="D45" s="92"/>
      <c r="E45" s="1"/>
      <c r="F45" s="98" t="b">
        <v>0</v>
      </c>
      <c r="G45" s="112"/>
      <c r="H45" s="103"/>
      <c r="I45" s="99"/>
      <c r="J45" s="99"/>
      <c r="K45" s="89" t="str">
        <f t="shared" si="8"/>
        <v/>
      </c>
      <c r="L45" s="1"/>
      <c r="M45" s="98"/>
      <c r="N45" s="99"/>
      <c r="O45" s="91"/>
      <c r="P45" s="46" t="str">
        <f t="shared" si="6"/>
        <v/>
      </c>
      <c r="Q45" s="1"/>
      <c r="R45" s="98" t="b">
        <v>0</v>
      </c>
      <c r="S45" s="90"/>
      <c r="T45" s="103"/>
      <c r="U45" s="99"/>
      <c r="V45" s="104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>
      <c r="A46" s="1"/>
      <c r="B46" s="15" t="s">
        <v>70</v>
      </c>
      <c r="C46" s="91"/>
      <c r="D46" s="92"/>
      <c r="E46" s="1"/>
      <c r="F46" s="98" t="b">
        <v>0</v>
      </c>
      <c r="G46" s="112"/>
      <c r="H46" s="103"/>
      <c r="I46" s="91"/>
      <c r="J46" s="91"/>
      <c r="K46" s="89" t="str">
        <f t="shared" si="8"/>
        <v/>
      </c>
      <c r="L46" s="1"/>
      <c r="M46" s="98"/>
      <c r="N46" s="99"/>
      <c r="O46" s="91"/>
      <c r="P46" s="46" t="str">
        <f t="shared" si="6"/>
        <v/>
      </c>
      <c r="Q46" s="1"/>
      <c r="R46" s="98" t="b">
        <v>0</v>
      </c>
      <c r="S46" s="90"/>
      <c r="T46" s="103"/>
      <c r="U46" s="99"/>
      <c r="V46" s="10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>
      <c r="A47" s="1"/>
      <c r="B47" s="15" t="s">
        <v>71</v>
      </c>
      <c r="C47" s="91"/>
      <c r="D47" s="92"/>
      <c r="E47" s="1"/>
      <c r="F47" s="15" t="b">
        <v>0</v>
      </c>
      <c r="G47" s="112"/>
      <c r="H47" s="103"/>
      <c r="I47" s="91"/>
      <c r="J47" s="91"/>
      <c r="K47" s="89" t="str">
        <f t="shared" si="8"/>
        <v/>
      </c>
      <c r="L47" s="1"/>
      <c r="M47" s="98"/>
      <c r="N47" s="99"/>
      <c r="O47" s="99"/>
      <c r="P47" s="46" t="str">
        <f t="shared" si="6"/>
        <v/>
      </c>
      <c r="Q47" s="1"/>
      <c r="R47" s="98" t="b">
        <v>0</v>
      </c>
      <c r="S47" s="90"/>
      <c r="T47" s="103"/>
      <c r="U47" s="99"/>
      <c r="V47" s="104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>
      <c r="A48" s="1"/>
      <c r="B48" s="15" t="s">
        <v>72</v>
      </c>
      <c r="C48" s="91"/>
      <c r="D48" s="92"/>
      <c r="E48" s="1"/>
      <c r="F48" s="15" t="b">
        <v>0</v>
      </c>
      <c r="G48" s="112"/>
      <c r="H48" s="103"/>
      <c r="I48" s="91"/>
      <c r="J48" s="91"/>
      <c r="K48" s="89" t="str">
        <f t="shared" si="8"/>
        <v/>
      </c>
      <c r="L48" s="1"/>
      <c r="M48" s="98"/>
      <c r="N48" s="99"/>
      <c r="O48" s="99"/>
      <c r="P48" s="46" t="str">
        <f t="shared" si="6"/>
        <v/>
      </c>
      <c r="Q48" s="1"/>
      <c r="R48" s="121" t="b">
        <v>0</v>
      </c>
      <c r="S48" s="122"/>
      <c r="T48" s="123"/>
      <c r="U48" s="124"/>
      <c r="V48" s="125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>
      <c r="A49" s="1"/>
      <c r="B49" s="15"/>
      <c r="C49" s="91"/>
      <c r="D49" s="92"/>
      <c r="E49" s="1"/>
      <c r="F49" s="15" t="b">
        <v>0</v>
      </c>
      <c r="G49" s="112"/>
      <c r="H49" s="103"/>
      <c r="I49" s="91"/>
      <c r="J49" s="91"/>
      <c r="K49" s="89" t="str">
        <f t="shared" si="8"/>
        <v/>
      </c>
      <c r="L49" s="1"/>
      <c r="M49" s="98"/>
      <c r="N49" s="99"/>
      <c r="O49" s="99"/>
      <c r="P49" s="46" t="str">
        <f t="shared" si="6"/>
        <v/>
      </c>
      <c r="Q49" s="1"/>
      <c r="R49" s="126"/>
      <c r="S49" s="127" t="s">
        <v>48</v>
      </c>
      <c r="T49" s="127"/>
      <c r="U49" s="128">
        <f>sum(U24:U48)</f>
        <v>0</v>
      </c>
      <c r="V49" s="129">
        <f>SUM(V24:V48)</f>
        <v>0</v>
      </c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>
      <c r="A50" s="1"/>
      <c r="B50" s="15"/>
      <c r="C50" s="91"/>
      <c r="D50" s="92"/>
      <c r="E50" s="1"/>
      <c r="F50" s="15" t="b">
        <v>0</v>
      </c>
      <c r="G50" s="112"/>
      <c r="H50" s="103"/>
      <c r="I50" s="91"/>
      <c r="J50" s="91"/>
      <c r="K50" s="89" t="str">
        <f t="shared" si="8"/>
        <v/>
      </c>
      <c r="M50" s="98"/>
      <c r="N50" s="99"/>
      <c r="O50" s="99"/>
      <c r="P50" s="46" t="str">
        <f t="shared" si="6"/>
        <v/>
      </c>
      <c r="R50" s="33"/>
      <c r="S50" s="33"/>
      <c r="T50" s="33"/>
      <c r="U50" s="33"/>
      <c r="V50" s="33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>
      <c r="A51" s="1"/>
      <c r="B51" s="15"/>
      <c r="C51" s="91"/>
      <c r="D51" s="92"/>
      <c r="E51" s="1"/>
      <c r="F51" s="15" t="b">
        <v>0</v>
      </c>
      <c r="G51" s="112"/>
      <c r="H51" s="103"/>
      <c r="I51" s="91"/>
      <c r="J51" s="91"/>
      <c r="K51" s="89" t="str">
        <f t="shared" si="8"/>
        <v/>
      </c>
      <c r="M51" s="98"/>
      <c r="N51" s="99"/>
      <c r="O51" s="99"/>
      <c r="P51" s="46" t="str">
        <f t="shared" si="6"/>
        <v/>
      </c>
      <c r="R51" s="130" t="s">
        <v>73</v>
      </c>
      <c r="S51" s="4"/>
      <c r="T51" s="4"/>
      <c r="U51" s="4"/>
      <c r="V51" s="5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>
      <c r="A52" s="1"/>
      <c r="B52" s="15"/>
      <c r="C52" s="91"/>
      <c r="D52" s="92"/>
      <c r="E52" s="1"/>
      <c r="F52" s="15" t="b">
        <v>0</v>
      </c>
      <c r="G52" s="112"/>
      <c r="H52" s="103"/>
      <c r="I52" s="91"/>
      <c r="J52" s="91"/>
      <c r="K52" s="89" t="str">
        <f t="shared" si="8"/>
        <v/>
      </c>
      <c r="M52" s="98"/>
      <c r="N52" s="99"/>
      <c r="O52" s="99"/>
      <c r="P52" s="46" t="str">
        <f t="shared" si="6"/>
        <v/>
      </c>
      <c r="R52" s="12"/>
      <c r="V52" s="13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>
      <c r="A53" s="1"/>
      <c r="B53" s="15"/>
      <c r="C53" s="91"/>
      <c r="D53" s="92"/>
      <c r="E53" s="1"/>
      <c r="F53" s="15" t="b">
        <v>0</v>
      </c>
      <c r="G53" s="112"/>
      <c r="H53" s="103"/>
      <c r="I53" s="91"/>
      <c r="J53" s="91"/>
      <c r="K53" s="89" t="str">
        <f t="shared" si="8"/>
        <v/>
      </c>
      <c r="M53" s="98"/>
      <c r="N53" s="99"/>
      <c r="O53" s="99"/>
      <c r="P53" s="46" t="str">
        <f t="shared" si="6"/>
        <v/>
      </c>
      <c r="R53" s="131"/>
      <c r="S53" s="10"/>
      <c r="T53" s="10"/>
      <c r="U53" s="10"/>
      <c r="V53" s="1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>
      <c r="A54" s="1"/>
      <c r="B54" s="15"/>
      <c r="C54" s="91"/>
      <c r="D54" s="92"/>
      <c r="E54" s="1"/>
      <c r="F54" s="15" t="b">
        <v>0</v>
      </c>
      <c r="G54" s="112"/>
      <c r="H54" s="103"/>
      <c r="I54" s="91"/>
      <c r="J54" s="91"/>
      <c r="K54" s="89" t="str">
        <f t="shared" si="8"/>
        <v/>
      </c>
      <c r="M54" s="98"/>
      <c r="N54" s="99"/>
      <c r="O54" s="99"/>
      <c r="P54" s="46" t="str">
        <f t="shared" si="6"/>
        <v/>
      </c>
      <c r="R54" s="132"/>
      <c r="S54" s="133"/>
      <c r="T54" s="133"/>
      <c r="U54" s="133"/>
      <c r="V54" s="17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>
      <c r="A55" s="1"/>
      <c r="B55" s="15"/>
      <c r="C55" s="91"/>
      <c r="D55" s="92"/>
      <c r="E55" s="1"/>
      <c r="F55" s="15" t="b">
        <v>0</v>
      </c>
      <c r="G55" s="112"/>
      <c r="H55" s="103"/>
      <c r="I55" s="91"/>
      <c r="J55" s="91"/>
      <c r="K55" s="89" t="str">
        <f t="shared" si="8"/>
        <v/>
      </c>
      <c r="M55" s="98"/>
      <c r="N55" s="99"/>
      <c r="O55" s="99"/>
      <c r="P55" s="46" t="str">
        <f t="shared" si="6"/>
        <v/>
      </c>
      <c r="R55" s="132"/>
      <c r="S55" s="133"/>
      <c r="T55" s="133"/>
      <c r="U55" s="133"/>
      <c r="V55" s="17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>
      <c r="A56" s="1"/>
      <c r="B56" s="15"/>
      <c r="C56" s="91"/>
      <c r="D56" s="92"/>
      <c r="E56" s="1"/>
      <c r="F56" s="15" t="b">
        <v>0</v>
      </c>
      <c r="G56" s="112"/>
      <c r="H56" s="103"/>
      <c r="I56" s="91"/>
      <c r="J56" s="91"/>
      <c r="K56" s="89" t="str">
        <f t="shared" si="8"/>
        <v/>
      </c>
      <c r="M56" s="98"/>
      <c r="N56" s="99"/>
      <c r="O56" s="99"/>
      <c r="P56" s="46" t="str">
        <f t="shared" si="6"/>
        <v/>
      </c>
      <c r="R56" s="134"/>
      <c r="S56" s="133"/>
      <c r="T56" s="133"/>
      <c r="U56" s="133"/>
      <c r="V56" s="17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>
      <c r="A57" s="1"/>
      <c r="B57" s="15"/>
      <c r="C57" s="91"/>
      <c r="D57" s="92"/>
      <c r="E57" s="1"/>
      <c r="F57" s="15" t="b">
        <v>0</v>
      </c>
      <c r="G57" s="112"/>
      <c r="H57" s="103"/>
      <c r="I57" s="91"/>
      <c r="J57" s="91"/>
      <c r="K57" s="89" t="str">
        <f t="shared" si="8"/>
        <v/>
      </c>
      <c r="M57" s="98"/>
      <c r="N57" s="99"/>
      <c r="O57" s="99"/>
      <c r="P57" s="46" t="str">
        <f t="shared" si="6"/>
        <v/>
      </c>
      <c r="R57" s="134"/>
      <c r="S57" s="133"/>
      <c r="T57" s="133"/>
      <c r="U57" s="133"/>
      <c r="V57" s="17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>
      <c r="A58" s="1"/>
      <c r="B58" s="15"/>
      <c r="C58" s="91"/>
      <c r="D58" s="92"/>
      <c r="E58" s="1"/>
      <c r="F58" s="15" t="b">
        <v>0</v>
      </c>
      <c r="G58" s="112"/>
      <c r="H58" s="103"/>
      <c r="I58" s="91"/>
      <c r="J58" s="91"/>
      <c r="K58" s="89" t="str">
        <f t="shared" si="8"/>
        <v/>
      </c>
      <c r="M58" s="98"/>
      <c r="N58" s="99"/>
      <c r="O58" s="99"/>
      <c r="P58" s="46" t="str">
        <f t="shared" si="6"/>
        <v/>
      </c>
      <c r="R58" s="134"/>
      <c r="S58" s="133"/>
      <c r="T58" s="133"/>
      <c r="U58" s="133"/>
      <c r="V58" s="17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>
      <c r="A59" s="1"/>
      <c r="B59" s="15"/>
      <c r="C59" s="91"/>
      <c r="D59" s="92"/>
      <c r="E59" s="1"/>
      <c r="F59" s="15" t="b">
        <v>0</v>
      </c>
      <c r="G59" s="112"/>
      <c r="H59" s="103"/>
      <c r="I59" s="91"/>
      <c r="J59" s="91"/>
      <c r="K59" s="89" t="str">
        <f t="shared" si="8"/>
        <v/>
      </c>
      <c r="M59" s="98"/>
      <c r="N59" s="99"/>
      <c r="O59" s="99"/>
      <c r="P59" s="46" t="str">
        <f t="shared" si="6"/>
        <v/>
      </c>
      <c r="R59" s="134"/>
      <c r="S59" s="133"/>
      <c r="T59" s="133"/>
      <c r="U59" s="133"/>
      <c r="V59" s="17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>
      <c r="A60" s="1"/>
      <c r="B60" s="15"/>
      <c r="C60" s="91"/>
      <c r="D60" s="92"/>
      <c r="E60" s="1"/>
      <c r="F60" s="15" t="b">
        <v>0</v>
      </c>
      <c r="G60" s="112"/>
      <c r="H60" s="103"/>
      <c r="I60" s="91"/>
      <c r="J60" s="91"/>
      <c r="K60" s="89" t="str">
        <f t="shared" si="8"/>
        <v/>
      </c>
      <c r="M60" s="98"/>
      <c r="N60" s="99"/>
      <c r="O60" s="99"/>
      <c r="P60" s="46" t="str">
        <f t="shared" si="6"/>
        <v/>
      </c>
      <c r="R60" s="134"/>
      <c r="S60" s="133"/>
      <c r="T60" s="133"/>
      <c r="U60" s="133"/>
      <c r="V60" s="17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>
      <c r="A61" s="1"/>
      <c r="B61" s="15"/>
      <c r="C61" s="91"/>
      <c r="D61" s="92"/>
      <c r="E61" s="1"/>
      <c r="F61" s="15" t="b">
        <v>0</v>
      </c>
      <c r="G61" s="112"/>
      <c r="H61" s="103"/>
      <c r="I61" s="91"/>
      <c r="J61" s="91"/>
      <c r="K61" s="89" t="str">
        <f t="shared" si="8"/>
        <v/>
      </c>
      <c r="M61" s="98"/>
      <c r="N61" s="99"/>
      <c r="O61" s="99"/>
      <c r="P61" s="46" t="str">
        <f t="shared" si="6"/>
        <v/>
      </c>
      <c r="R61" s="134"/>
      <c r="S61" s="133"/>
      <c r="T61" s="133"/>
      <c r="U61" s="133"/>
      <c r="V61" s="17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>
      <c r="A62" s="1"/>
      <c r="B62" s="15"/>
      <c r="C62" s="91"/>
      <c r="D62" s="92"/>
      <c r="E62" s="1"/>
      <c r="F62" s="15" t="b">
        <v>0</v>
      </c>
      <c r="G62" s="112"/>
      <c r="H62" s="103"/>
      <c r="I62" s="91"/>
      <c r="J62" s="91"/>
      <c r="K62" s="89" t="str">
        <f t="shared" si="8"/>
        <v/>
      </c>
      <c r="M62" s="98"/>
      <c r="N62" s="99"/>
      <c r="O62" s="99"/>
      <c r="P62" s="46" t="str">
        <f t="shared" si="6"/>
        <v/>
      </c>
      <c r="R62" s="134"/>
      <c r="S62" s="133"/>
      <c r="T62" s="133"/>
      <c r="U62" s="133"/>
      <c r="V62" s="17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>
      <c r="A63" s="1"/>
      <c r="B63" s="135" t="s">
        <v>48</v>
      </c>
      <c r="C63" s="136">
        <f t="shared" ref="C63:D63" si="9">SUM(C44:C62)</f>
        <v>0</v>
      </c>
      <c r="D63" s="137">
        <f t="shared" si="9"/>
        <v>0</v>
      </c>
      <c r="E63" s="1"/>
      <c r="F63" s="138"/>
      <c r="G63" s="139" t="s">
        <v>48</v>
      </c>
      <c r="H63" s="140"/>
      <c r="I63" s="141">
        <f t="shared" ref="I63:J63" si="10">SUM(I24:I62)</f>
        <v>0</v>
      </c>
      <c r="J63" s="141">
        <f t="shared" si="10"/>
        <v>0</v>
      </c>
      <c r="K63" s="142">
        <f>sum(K24:K62)</f>
        <v>0</v>
      </c>
      <c r="L63" s="1"/>
      <c r="M63" s="143" t="s">
        <v>48</v>
      </c>
      <c r="N63" s="144">
        <f t="shared" ref="N63:P63" si="11">SUM(N24:N62)</f>
        <v>0</v>
      </c>
      <c r="O63" s="144">
        <f t="shared" si="11"/>
        <v>0</v>
      </c>
      <c r="P63" s="145">
        <f t="shared" si="11"/>
        <v>0</v>
      </c>
      <c r="Q63" s="1"/>
      <c r="R63" s="146"/>
      <c r="S63" s="147"/>
      <c r="T63" s="147"/>
      <c r="U63" s="147"/>
      <c r="V63" s="24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>
      <c r="A64" s="1"/>
      <c r="B64" s="1"/>
      <c r="C64" s="1"/>
      <c r="D64" s="1"/>
      <c r="E64" s="1"/>
      <c r="F64" s="1"/>
      <c r="G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>
      <c r="A65" s="1"/>
      <c r="B65" s="1"/>
      <c r="C65" s="1"/>
      <c r="D65" s="1"/>
      <c r="E65" s="1"/>
      <c r="F65" s="1"/>
      <c r="G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>
      <c r="A66" s="1"/>
      <c r="B66" s="1"/>
      <c r="C66" s="1"/>
      <c r="D66" s="1"/>
      <c r="E66" s="1"/>
      <c r="F66" s="1"/>
      <c r="G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>
      <c r="A67" s="1"/>
      <c r="B67" s="1"/>
      <c r="C67" s="1"/>
      <c r="D67" s="1"/>
      <c r="E67" s="1"/>
      <c r="F67" s="1"/>
      <c r="G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>
      <c r="A68" s="1"/>
      <c r="B68" s="1"/>
      <c r="C68" s="1"/>
      <c r="D68" s="1"/>
      <c r="E68" s="1"/>
      <c r="F68" s="1"/>
      <c r="G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>
      <c r="A69" s="1"/>
      <c r="B69" s="1"/>
      <c r="C69" s="1"/>
      <c r="D69" s="1"/>
      <c r="E69" s="1"/>
      <c r="F69" s="1"/>
      <c r="G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>
      <c r="A70" s="1"/>
      <c r="B70" s="1"/>
      <c r="C70" s="1"/>
      <c r="D70" s="1"/>
      <c r="E70" s="1"/>
      <c r="F70" s="1"/>
      <c r="G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>
      <c r="A71" s="1"/>
      <c r="B71" s="1"/>
      <c r="C71" s="1"/>
      <c r="D71" s="1"/>
      <c r="E71" s="1"/>
      <c r="F71" s="1"/>
      <c r="G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>
      <c r="A72" s="1"/>
      <c r="B72" s="1"/>
      <c r="C72" s="1"/>
      <c r="D72" s="1"/>
      <c r="E72" s="1"/>
      <c r="F72" s="1"/>
      <c r="G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>
      <c r="A73" s="1"/>
      <c r="B73" s="1"/>
      <c r="C73" s="1"/>
      <c r="D73" s="1"/>
      <c r="E73" s="1"/>
      <c r="F73" s="1"/>
      <c r="G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>
      <c r="A74" s="1"/>
      <c r="B74" s="1"/>
      <c r="C74" s="1"/>
      <c r="D74" s="1"/>
      <c r="E74" s="1"/>
      <c r="F74" s="1"/>
      <c r="G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>
      <c r="A75" s="1"/>
      <c r="B75" s="1"/>
      <c r="C75" s="1"/>
      <c r="D75" s="1"/>
      <c r="E75" s="1"/>
      <c r="F75" s="1"/>
      <c r="G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>
      <c r="A76" s="1"/>
      <c r="B76" s="1"/>
      <c r="C76" s="1"/>
      <c r="D76" s="1"/>
      <c r="E76" s="1"/>
      <c r="F76" s="1"/>
      <c r="G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>
      <c r="A77" s="1"/>
      <c r="B77" s="1"/>
      <c r="C77" s="1"/>
      <c r="D77" s="1"/>
      <c r="E77" s="1"/>
      <c r="F77" s="1"/>
      <c r="G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>
      <c r="A78" s="1"/>
      <c r="B78" s="1"/>
      <c r="C78" s="1"/>
      <c r="D78" s="1"/>
      <c r="E78" s="1"/>
      <c r="F78" s="1"/>
      <c r="G78" s="1"/>
      <c r="H78" s="189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</row>
  </sheetData>
  <mergeCells count="35">
    <mergeCell ref="B4:D5"/>
    <mergeCell ref="J4:M6"/>
    <mergeCell ref="N4:P6"/>
    <mergeCell ref="Q4:T6"/>
    <mergeCell ref="U4:V6"/>
    <mergeCell ref="C6:D6"/>
    <mergeCell ref="C7:D7"/>
    <mergeCell ref="F4:I6"/>
    <mergeCell ref="F7:I9"/>
    <mergeCell ref="J7:M9"/>
    <mergeCell ref="N7:P9"/>
    <mergeCell ref="Q7:T9"/>
    <mergeCell ref="U7:V9"/>
    <mergeCell ref="C8:D8"/>
    <mergeCell ref="C9:D9"/>
    <mergeCell ref="B11:D12"/>
    <mergeCell ref="I15:I16"/>
    <mergeCell ref="B21:D22"/>
    <mergeCell ref="F21:J22"/>
    <mergeCell ref="M21:P22"/>
    <mergeCell ref="R21:V22"/>
    <mergeCell ref="R57:V57"/>
    <mergeCell ref="R58:V58"/>
    <mergeCell ref="R59:V59"/>
    <mergeCell ref="R60:V60"/>
    <mergeCell ref="R61:V61"/>
    <mergeCell ref="R62:V62"/>
    <mergeCell ref="R63:V63"/>
    <mergeCell ref="B31:D32"/>
    <mergeCell ref="B41:D42"/>
    <mergeCell ref="R51:V52"/>
    <mergeCell ref="R53:V53"/>
    <mergeCell ref="R54:V54"/>
    <mergeCell ref="R55:V55"/>
    <mergeCell ref="R56:V56"/>
  </mergeCells>
  <conditionalFormatting sqref="K24:K62">
    <cfRule type="cellIs" dxfId="0" priority="1" operator="greaterThan">
      <formula>0</formula>
    </cfRule>
  </conditionalFormatting>
  <conditionalFormatting sqref="K24:K62">
    <cfRule type="cellIs" dxfId="1" priority="2" operator="lessThan">
      <formula>0</formula>
    </cfRule>
  </conditionalFormatting>
  <conditionalFormatting sqref="P24:P62">
    <cfRule type="cellIs" dxfId="0" priority="3" operator="greaterThan">
      <formula>0</formula>
    </cfRule>
  </conditionalFormatting>
  <conditionalFormatting sqref="P24:P62">
    <cfRule type="cellIs" dxfId="1" priority="4" operator="lessThan">
      <formula>0</formula>
    </cfRule>
  </conditionalFormatting>
  <conditionalFormatting sqref="P24:P62">
    <cfRule type="cellIs" dxfId="2" priority="5" operator="equal">
      <formula>0</formula>
    </cfRule>
  </conditionalFormatting>
  <conditionalFormatting sqref="K24:K62">
    <cfRule type="cellIs" dxfId="2" priority="6" operator="equal">
      <formula>0</formula>
    </cfRule>
  </conditionalFormatting>
  <conditionalFormatting sqref="K63">
    <cfRule type="cellIs" dxfId="3" priority="7" operator="greaterThan">
      <formula>0</formula>
    </cfRule>
  </conditionalFormatting>
  <conditionalFormatting sqref="K63">
    <cfRule type="cellIs" dxfId="4" priority="8" operator="lessThan">
      <formula>0</formula>
    </cfRule>
  </conditionalFormatting>
  <conditionalFormatting sqref="P63">
    <cfRule type="cellIs" dxfId="3" priority="9" operator="greaterThan">
      <formula>0</formula>
    </cfRule>
  </conditionalFormatting>
  <conditionalFormatting sqref="K63">
    <cfRule type="cellIs" dxfId="5" priority="10" operator="equal">
      <formula>0</formula>
    </cfRule>
  </conditionalFormatting>
  <dataValidations>
    <dataValidation type="list" allowBlank="1" showErrorMessage="1" sqref="T24:T27 T29:T48 H24:H62">
      <formula1>setting!$A$2:$A$32</formula1>
    </dataValidation>
    <dataValidation type="list" allowBlank="1" showErrorMessage="1" sqref="T28">
      <formula1>setting!$A$2:$A$33</formula1>
    </dataValidation>
    <dataValidation type="list" allowBlank="1" showErrorMessage="1" sqref="C8">
      <formula1>"$,£,€,¥,₽,₩,R$"</formula1>
    </dataValidation>
    <dataValidation type="custom" allowBlank="1" showDropDown="1" sqref="C7">
      <formula1>OR(NOT(ISERROR(DATEVALUE(C7))), AND(ISNUMBER(C7), LEFT(CELL("format", C7))="D"))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15.0"/>
    <col customWidth="1" min="5" max="5" width="1.38"/>
    <col customWidth="1" min="6" max="6" width="3.38"/>
    <col customWidth="1" min="7" max="7" width="15.5"/>
    <col customWidth="1" min="8" max="8" width="7.0"/>
    <col customWidth="1" min="12" max="12" width="2.63"/>
    <col customWidth="1" min="13" max="13" width="15.13"/>
    <col customWidth="1" min="17" max="17" width="2.63"/>
    <col customWidth="1" min="18" max="18" width="3.13"/>
    <col customWidth="1" min="19" max="19" width="13.25"/>
    <col customWidth="1" min="20" max="20" width="5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40.5" customHeight="1">
      <c r="A2" s="1"/>
      <c r="B2" s="1"/>
      <c r="C2" s="2" t="s">
        <v>88</v>
      </c>
      <c r="D2" s="1"/>
      <c r="E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ht="5.25" customHeight="1">
      <c r="A3" s="1"/>
      <c r="B3" s="1"/>
      <c r="C3" s="1"/>
      <c r="D3" s="1"/>
      <c r="E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>
      <c r="A4" s="1"/>
      <c r="B4" s="3" t="s">
        <v>1</v>
      </c>
      <c r="C4" s="4"/>
      <c r="D4" s="5"/>
      <c r="E4" s="1"/>
      <c r="F4" s="6" t="s">
        <v>2</v>
      </c>
      <c r="G4" s="4"/>
      <c r="H4" s="4"/>
      <c r="I4" s="4"/>
      <c r="J4" s="7" t="s">
        <v>3</v>
      </c>
      <c r="K4" s="4"/>
      <c r="L4" s="4"/>
      <c r="M4" s="4"/>
      <c r="N4" s="7" t="s">
        <v>4</v>
      </c>
      <c r="O4" s="4"/>
      <c r="P4" s="4"/>
      <c r="Q4" s="8" t="s">
        <v>5</v>
      </c>
      <c r="R4" s="4"/>
      <c r="S4" s="4"/>
      <c r="T4" s="4"/>
      <c r="U4" s="7" t="s">
        <v>6</v>
      </c>
      <c r="V4" s="5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>
      <c r="A5" s="1"/>
      <c r="B5" s="9"/>
      <c r="C5" s="10"/>
      <c r="D5" s="11"/>
      <c r="E5" s="1"/>
      <c r="F5" s="12"/>
      <c r="V5" s="13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>
      <c r="A6" s="1"/>
      <c r="B6" s="15" t="s">
        <v>7</v>
      </c>
      <c r="C6" s="16">
        <v>45717.0</v>
      </c>
      <c r="D6" s="17"/>
      <c r="E6" s="1"/>
      <c r="F6" s="12"/>
      <c r="V6" s="13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>
      <c r="A7" s="1"/>
      <c r="B7" s="15" t="s">
        <v>8</v>
      </c>
      <c r="C7" s="16">
        <v>45747.0</v>
      </c>
      <c r="D7" s="17"/>
      <c r="E7" s="1"/>
      <c r="F7" s="18">
        <f>D15</f>
        <v>0</v>
      </c>
      <c r="J7" s="19">
        <f>D19</f>
        <v>0</v>
      </c>
      <c r="N7" s="20">
        <f>D17</f>
        <v>0</v>
      </c>
      <c r="Q7" s="19">
        <f>D18</f>
        <v>0</v>
      </c>
      <c r="U7" s="19">
        <f>D16</f>
        <v>0</v>
      </c>
      <c r="V7" s="13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>
      <c r="A8" s="1"/>
      <c r="B8" s="15" t="s">
        <v>9</v>
      </c>
      <c r="C8" s="21" t="s">
        <v>10</v>
      </c>
      <c r="D8" s="17"/>
      <c r="E8" s="1"/>
      <c r="F8" s="12"/>
      <c r="V8" s="13"/>
      <c r="W8" s="1"/>
      <c r="X8" s="1"/>
      <c r="Y8" s="1"/>
      <c r="AA8" s="1"/>
      <c r="AB8" s="1"/>
      <c r="AC8" s="1"/>
      <c r="AD8" s="1"/>
      <c r="AE8" s="1"/>
      <c r="AF8" s="1"/>
      <c r="AG8" s="1"/>
    </row>
    <row r="9">
      <c r="A9" s="1"/>
      <c r="B9" s="22" t="s">
        <v>11</v>
      </c>
      <c r="C9" s="190">
        <f>Feburary!J7</f>
        <v>0</v>
      </c>
      <c r="D9" s="24"/>
      <c r="E9" s="1"/>
      <c r="F9" s="25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7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>
      <c r="A10" s="1"/>
      <c r="B10" s="28" t="s">
        <v>12</v>
      </c>
      <c r="C10" s="29">
        <f>D16+D17+D18</f>
        <v>0</v>
      </c>
      <c r="D10" s="29">
        <f>D19</f>
        <v>0</v>
      </c>
      <c r="E10" s="1"/>
      <c r="W10" s="1"/>
      <c r="X10" s="1"/>
      <c r="Y10" s="1"/>
      <c r="Z10" s="1"/>
      <c r="AA10" s="1"/>
      <c r="AB10" s="1"/>
      <c r="AC10" s="30"/>
      <c r="AD10" s="30"/>
      <c r="AE10" s="30"/>
      <c r="AF10" s="30"/>
      <c r="AG10" s="1"/>
    </row>
    <row r="11">
      <c r="A11" s="1"/>
      <c r="B11" s="31" t="s">
        <v>13</v>
      </c>
      <c r="C11" s="4"/>
      <c r="D11" s="5"/>
      <c r="E11" s="1"/>
      <c r="F11" s="32"/>
      <c r="G11" s="33"/>
      <c r="H11" s="33"/>
      <c r="I11" s="33"/>
      <c r="J11" s="33"/>
      <c r="K11" s="34"/>
      <c r="M11" s="32"/>
      <c r="N11" s="33"/>
      <c r="O11" s="33"/>
      <c r="P11" s="34"/>
      <c r="R11" s="32"/>
      <c r="S11" s="33"/>
      <c r="T11" s="33"/>
      <c r="U11" s="33"/>
      <c r="V11" s="34"/>
      <c r="W11" s="1"/>
      <c r="X11" s="1"/>
      <c r="Y11" s="1"/>
      <c r="Z11" s="1"/>
      <c r="AA11" s="1"/>
      <c r="AB11" s="1"/>
      <c r="AC11" s="30"/>
      <c r="AD11" s="30"/>
      <c r="AE11" s="30"/>
      <c r="AF11" s="30"/>
      <c r="AG11" s="1"/>
    </row>
    <row r="12">
      <c r="A12" s="1"/>
      <c r="B12" s="12"/>
      <c r="D12" s="13"/>
      <c r="E12" s="1"/>
      <c r="F12" s="35"/>
      <c r="G12" s="36"/>
      <c r="H12" s="36"/>
      <c r="I12" s="36"/>
      <c r="J12" s="36"/>
      <c r="K12" s="37"/>
      <c r="L12" s="1"/>
      <c r="M12" s="38"/>
      <c r="N12" s="1"/>
      <c r="O12" s="1"/>
      <c r="P12" s="39"/>
      <c r="Q12" s="1"/>
      <c r="R12" s="38"/>
      <c r="S12" s="1"/>
      <c r="T12" s="1"/>
      <c r="U12" s="1"/>
      <c r="V12" s="39"/>
      <c r="W12" s="1"/>
      <c r="X12" s="1"/>
      <c r="Y12" s="1"/>
      <c r="Z12" s="1"/>
      <c r="AA12" s="1"/>
      <c r="AB12" s="1"/>
      <c r="AC12" s="30"/>
      <c r="AD12" s="28" t="s">
        <v>14</v>
      </c>
      <c r="AE12" s="29">
        <f>V49</f>
        <v>0</v>
      </c>
      <c r="AF12" s="30"/>
      <c r="AG12" s="1"/>
    </row>
    <row r="13">
      <c r="A13" s="1"/>
      <c r="B13" s="40"/>
      <c r="C13" s="41" t="s">
        <v>15</v>
      </c>
      <c r="D13" s="42" t="s">
        <v>16</v>
      </c>
      <c r="E13" s="1"/>
      <c r="F13" s="43"/>
      <c r="G13" s="36"/>
      <c r="H13" s="36"/>
      <c r="I13" s="36"/>
      <c r="J13" s="36"/>
      <c r="K13" s="37"/>
      <c r="L13" s="1"/>
      <c r="M13" s="38"/>
      <c r="N13" s="1"/>
      <c r="O13" s="1"/>
      <c r="P13" s="39"/>
      <c r="Q13" s="1"/>
      <c r="R13" s="38"/>
      <c r="S13" s="1"/>
      <c r="T13" s="1"/>
      <c r="U13" s="1"/>
      <c r="V13" s="39"/>
      <c r="W13" s="1"/>
      <c r="X13" s="1"/>
      <c r="Y13" s="1"/>
      <c r="Z13" s="1"/>
      <c r="AA13" s="1"/>
      <c r="AB13" s="1"/>
      <c r="AC13" s="30"/>
      <c r="AD13" s="28" t="s">
        <v>17</v>
      </c>
      <c r="AE13" s="29">
        <f>J63</f>
        <v>0</v>
      </c>
      <c r="AF13" s="30"/>
      <c r="AG13" s="1"/>
    </row>
    <row r="14">
      <c r="A14" s="1"/>
      <c r="B14" s="44" t="s">
        <v>11</v>
      </c>
      <c r="C14" s="45">
        <f>C9</f>
        <v>0</v>
      </c>
      <c r="D14" s="46">
        <f>C9</f>
        <v>0</v>
      </c>
      <c r="E14" s="47" t="s">
        <v>18</v>
      </c>
      <c r="F14" s="43"/>
      <c r="G14" s="36"/>
      <c r="H14" s="36"/>
      <c r="I14" s="36"/>
      <c r="J14" s="36"/>
      <c r="K14" s="37"/>
      <c r="L14" s="1"/>
      <c r="M14" s="38"/>
      <c r="N14" s="1"/>
      <c r="O14" s="1"/>
      <c r="P14" s="39"/>
      <c r="Q14" s="1"/>
      <c r="R14" s="38"/>
      <c r="S14" s="1"/>
      <c r="T14" s="1"/>
      <c r="U14" s="1"/>
      <c r="V14" s="39"/>
      <c r="W14" s="1"/>
      <c r="X14" s="1"/>
      <c r="Y14" s="1"/>
      <c r="Z14" s="1"/>
      <c r="AA14" s="1"/>
      <c r="AB14" s="1"/>
      <c r="AC14" s="30"/>
      <c r="AD14" s="28" t="s">
        <v>19</v>
      </c>
      <c r="AE14" s="48">
        <f>O63</f>
        <v>0</v>
      </c>
      <c r="AF14" s="30"/>
      <c r="AG14" s="1"/>
    </row>
    <row r="15">
      <c r="A15" s="1"/>
      <c r="B15" s="15" t="s">
        <v>20</v>
      </c>
      <c r="C15" s="49">
        <f t="shared" ref="C15:D15" si="1">C29+C39</f>
        <v>0</v>
      </c>
      <c r="D15" s="50">
        <f t="shared" si="1"/>
        <v>0</v>
      </c>
      <c r="E15" s="1"/>
      <c r="F15" s="43"/>
      <c r="G15" s="51"/>
      <c r="H15" s="51"/>
      <c r="I15" s="52">
        <f>D19</f>
        <v>0</v>
      </c>
      <c r="J15" s="51"/>
      <c r="K15" s="37"/>
      <c r="L15" s="1"/>
      <c r="M15" s="38"/>
      <c r="N15" s="1"/>
      <c r="O15" s="1"/>
      <c r="P15" s="39"/>
      <c r="Q15" s="1"/>
      <c r="R15" s="38"/>
      <c r="S15" s="1"/>
      <c r="T15" s="1"/>
      <c r="U15" s="1"/>
      <c r="V15" s="39"/>
      <c r="W15" s="1"/>
      <c r="X15" s="1"/>
      <c r="Y15" s="1"/>
      <c r="Z15" s="1"/>
      <c r="AA15" s="1"/>
      <c r="AB15" s="1"/>
      <c r="AC15" s="30"/>
      <c r="AD15" s="28" t="s">
        <v>21</v>
      </c>
      <c r="AE15" s="29">
        <f>D63</f>
        <v>0</v>
      </c>
      <c r="AF15" s="30"/>
      <c r="AG15" s="1"/>
    </row>
    <row r="16">
      <c r="A16" s="1"/>
      <c r="B16" s="15" t="s">
        <v>6</v>
      </c>
      <c r="C16" s="49">
        <f t="shared" ref="C16:D16" si="2">C63</f>
        <v>0</v>
      </c>
      <c r="D16" s="50">
        <f t="shared" si="2"/>
        <v>0</v>
      </c>
      <c r="E16" s="1"/>
      <c r="F16" s="43"/>
      <c r="G16" s="51"/>
      <c r="H16" s="51"/>
      <c r="J16" s="51"/>
      <c r="K16" s="37"/>
      <c r="L16" s="1"/>
      <c r="M16" s="38"/>
      <c r="N16" s="1"/>
      <c r="O16" s="1"/>
      <c r="P16" s="39"/>
      <c r="Q16" s="1"/>
      <c r="R16" s="38"/>
      <c r="S16" s="1"/>
      <c r="T16" s="1"/>
      <c r="U16" s="1"/>
      <c r="V16" s="39"/>
      <c r="W16" s="1"/>
      <c r="X16" s="1"/>
      <c r="Y16" s="1"/>
      <c r="Z16" s="1"/>
      <c r="AA16" s="1"/>
      <c r="AB16" s="1"/>
      <c r="AC16" s="30"/>
      <c r="AD16" s="30"/>
      <c r="AE16" s="30"/>
      <c r="AF16" s="30"/>
      <c r="AG16" s="1"/>
    </row>
    <row r="17">
      <c r="A17" s="1"/>
      <c r="B17" s="15" t="s">
        <v>4</v>
      </c>
      <c r="C17" s="49">
        <f t="shared" ref="C17:D17" si="3">I63+N63</f>
        <v>0</v>
      </c>
      <c r="D17" s="50">
        <f t="shared" si="3"/>
        <v>0</v>
      </c>
      <c r="E17" s="1"/>
      <c r="F17" s="43"/>
      <c r="G17" s="36"/>
      <c r="H17" s="36"/>
      <c r="I17" s="36"/>
      <c r="J17" s="36"/>
      <c r="K17" s="37"/>
      <c r="L17" s="1"/>
      <c r="M17" s="38"/>
      <c r="N17" s="1"/>
      <c r="O17" s="1"/>
      <c r="P17" s="39"/>
      <c r="Q17" s="1"/>
      <c r="R17" s="38"/>
      <c r="S17" s="1"/>
      <c r="T17" s="1"/>
      <c r="U17" s="1"/>
      <c r="V17" s="39"/>
      <c r="W17" s="1"/>
      <c r="X17" s="1"/>
      <c r="Y17" s="1"/>
      <c r="Z17" s="1"/>
      <c r="AA17" s="1"/>
      <c r="AB17" s="1"/>
      <c r="AC17" s="30"/>
      <c r="AD17" s="30"/>
      <c r="AE17" s="30"/>
      <c r="AF17" s="30"/>
      <c r="AG17" s="1"/>
    </row>
    <row r="18">
      <c r="A18" s="1"/>
      <c r="B18" s="53" t="s">
        <v>22</v>
      </c>
      <c r="C18" s="54">
        <f t="shared" ref="C18:D18" si="4">U49</f>
        <v>0</v>
      </c>
      <c r="D18" s="55">
        <f t="shared" si="4"/>
        <v>0</v>
      </c>
      <c r="E18" s="1"/>
      <c r="F18" s="43"/>
      <c r="G18" s="36"/>
      <c r="H18" s="36"/>
      <c r="I18" s="36"/>
      <c r="J18" s="36"/>
      <c r="K18" s="37"/>
      <c r="L18" s="1"/>
      <c r="M18" s="38"/>
      <c r="N18" s="1"/>
      <c r="O18" s="1"/>
      <c r="P18" s="39"/>
      <c r="Q18" s="1"/>
      <c r="R18" s="38"/>
      <c r="S18" s="1"/>
      <c r="T18" s="1"/>
      <c r="U18" s="1"/>
      <c r="V18" s="39"/>
      <c r="W18" s="1"/>
      <c r="X18" s="1"/>
      <c r="Y18" s="1"/>
      <c r="Z18" s="1"/>
      <c r="AA18" s="1"/>
      <c r="AB18" s="1"/>
      <c r="AC18" s="30"/>
      <c r="AD18" s="30"/>
      <c r="AE18" s="30"/>
      <c r="AF18" s="30"/>
      <c r="AG18" s="1"/>
    </row>
    <row r="19">
      <c r="A19" s="1"/>
      <c r="B19" s="56" t="s">
        <v>23</v>
      </c>
      <c r="C19" s="57">
        <f>C14+C15-C16-C17-C18</f>
        <v>0</v>
      </c>
      <c r="D19" s="58">
        <f>D14+D15-D17-D18-D16</f>
        <v>0</v>
      </c>
      <c r="E19" s="1"/>
      <c r="F19" s="59"/>
      <c r="G19" s="60"/>
      <c r="H19" s="60"/>
      <c r="I19" s="60"/>
      <c r="J19" s="60"/>
      <c r="K19" s="61"/>
      <c r="L19" s="1"/>
      <c r="M19" s="62"/>
      <c r="N19" s="63"/>
      <c r="O19" s="63"/>
      <c r="P19" s="64"/>
      <c r="Q19" s="1"/>
      <c r="R19" s="62"/>
      <c r="S19" s="63"/>
      <c r="T19" s="63"/>
      <c r="U19" s="63"/>
      <c r="V19" s="64"/>
      <c r="W19" s="1"/>
      <c r="X19" s="1"/>
      <c r="Y19" s="1"/>
      <c r="Z19" s="1"/>
      <c r="AA19" s="1"/>
      <c r="AB19" s="1"/>
      <c r="AC19" s="30"/>
      <c r="AD19" s="30"/>
      <c r="AE19" s="30"/>
      <c r="AF19" s="30"/>
      <c r="AG19" s="1"/>
    </row>
    <row r="20">
      <c r="A20" s="1"/>
      <c r="B20" s="65"/>
      <c r="C20" s="66"/>
      <c r="D20" s="15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30"/>
      <c r="AD20" s="30"/>
      <c r="AE20" s="30"/>
      <c r="AF20" s="30"/>
      <c r="AG20" s="1"/>
    </row>
    <row r="21">
      <c r="A21" s="1"/>
      <c r="B21" s="67" t="s">
        <v>24</v>
      </c>
      <c r="C21" s="4"/>
      <c r="D21" s="5"/>
      <c r="E21" s="1"/>
      <c r="F21" s="68" t="s">
        <v>25</v>
      </c>
      <c r="G21" s="4"/>
      <c r="H21" s="4"/>
      <c r="I21" s="4"/>
      <c r="J21" s="4"/>
      <c r="K21" s="69"/>
      <c r="L21" s="1"/>
      <c r="M21" s="70" t="s">
        <v>26</v>
      </c>
      <c r="N21" s="4"/>
      <c r="O21" s="4"/>
      <c r="P21" s="5"/>
      <c r="Q21" s="1"/>
      <c r="R21" s="71" t="s">
        <v>22</v>
      </c>
      <c r="S21" s="4"/>
      <c r="T21" s="4"/>
      <c r="U21" s="4"/>
      <c r="V21" s="5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>
      <c r="A22" s="1"/>
      <c r="B22" s="12"/>
      <c r="D22" s="13"/>
      <c r="E22" s="1"/>
      <c r="F22" s="25"/>
      <c r="G22" s="26"/>
      <c r="H22" s="26"/>
      <c r="I22" s="26"/>
      <c r="J22" s="26"/>
      <c r="K22" s="72"/>
      <c r="L22" s="1"/>
      <c r="M22" s="12"/>
      <c r="P22" s="13"/>
      <c r="Q22" s="1"/>
      <c r="R22" s="12"/>
      <c r="V22" s="13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>
      <c r="A23" s="1"/>
      <c r="B23" s="73"/>
      <c r="C23" s="74" t="s">
        <v>27</v>
      </c>
      <c r="D23" s="75" t="s">
        <v>16</v>
      </c>
      <c r="E23" s="1"/>
      <c r="F23" s="76"/>
      <c r="G23" s="77"/>
      <c r="H23" s="77" t="s">
        <v>28</v>
      </c>
      <c r="I23" s="77" t="s">
        <v>15</v>
      </c>
      <c r="J23" s="77" t="s">
        <v>16</v>
      </c>
      <c r="K23" s="78" t="s">
        <v>23</v>
      </c>
      <c r="L23" s="1"/>
      <c r="M23" s="79"/>
      <c r="N23" s="80" t="s">
        <v>15</v>
      </c>
      <c r="O23" s="80" t="s">
        <v>16</v>
      </c>
      <c r="P23" s="81" t="s">
        <v>23</v>
      </c>
      <c r="Q23" s="1"/>
      <c r="R23" s="82"/>
      <c r="S23" s="83"/>
      <c r="T23" s="83" t="s">
        <v>28</v>
      </c>
      <c r="U23" s="83" t="s">
        <v>15</v>
      </c>
      <c r="V23" s="84" t="s">
        <v>16</v>
      </c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>
      <c r="A24" s="1"/>
      <c r="B24" s="44" t="s">
        <v>29</v>
      </c>
      <c r="C24" s="85"/>
      <c r="D24" s="86"/>
      <c r="E24" s="1"/>
      <c r="F24" s="44" t="b">
        <v>0</v>
      </c>
      <c r="G24" s="187"/>
      <c r="H24" s="88"/>
      <c r="I24" s="85"/>
      <c r="J24" s="85"/>
      <c r="K24" s="89" t="str">
        <f t="shared" ref="K24:K36" si="5">if(I24="",J24,(if(J24="","",I24-J24)))</f>
        <v/>
      </c>
      <c r="L24" s="1"/>
      <c r="M24" s="44"/>
      <c r="N24" s="85"/>
      <c r="O24" s="85"/>
      <c r="P24" s="46" t="str">
        <f t="shared" ref="P24:P62" si="6">if(N24="",O24,(if(O24="","",N24-O24)))</f>
        <v/>
      </c>
      <c r="Q24" s="1"/>
      <c r="R24" s="44" t="b">
        <v>0</v>
      </c>
      <c r="S24" s="90"/>
      <c r="T24" s="88"/>
      <c r="U24" s="85"/>
      <c r="V24" s="86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>
      <c r="A25" s="1"/>
      <c r="B25" s="15" t="s">
        <v>33</v>
      </c>
      <c r="C25" s="91"/>
      <c r="D25" s="92"/>
      <c r="E25" s="1"/>
      <c r="F25" s="15" t="b">
        <v>0</v>
      </c>
      <c r="G25" s="93"/>
      <c r="H25" s="94"/>
      <c r="I25" s="91"/>
      <c r="J25" s="91"/>
      <c r="K25" s="89" t="str">
        <f t="shared" si="5"/>
        <v/>
      </c>
      <c r="L25" s="1"/>
      <c r="M25" s="15"/>
      <c r="N25" s="91"/>
      <c r="O25" s="91"/>
      <c r="P25" s="46" t="str">
        <f t="shared" si="6"/>
        <v/>
      </c>
      <c r="Q25" s="1"/>
      <c r="R25" s="15" t="b">
        <v>0</v>
      </c>
      <c r="S25" s="21"/>
      <c r="T25" s="94"/>
      <c r="U25" s="91"/>
      <c r="V25" s="92"/>
      <c r="W25" s="1"/>
      <c r="X25" s="1"/>
      <c r="Z25" s="1"/>
      <c r="AA25" s="1"/>
      <c r="AB25" s="1"/>
      <c r="AC25" s="1"/>
      <c r="AD25" s="1"/>
      <c r="AE25" s="1"/>
      <c r="AF25" s="1"/>
      <c r="AG25" s="1"/>
    </row>
    <row r="26">
      <c r="A26" s="1"/>
      <c r="B26" s="15" t="s">
        <v>37</v>
      </c>
      <c r="C26" s="91"/>
      <c r="D26" s="92"/>
      <c r="E26" s="1"/>
      <c r="F26" s="15" t="b">
        <v>0</v>
      </c>
      <c r="G26" s="93"/>
      <c r="H26" s="94"/>
      <c r="I26" s="91"/>
      <c r="J26" s="91"/>
      <c r="K26" s="89" t="str">
        <f t="shared" si="5"/>
        <v/>
      </c>
      <c r="L26" s="1"/>
      <c r="M26" s="15"/>
      <c r="N26" s="91"/>
      <c r="O26" s="91"/>
      <c r="P26" s="46" t="str">
        <f t="shared" si="6"/>
        <v/>
      </c>
      <c r="Q26" s="1"/>
      <c r="R26" s="15" t="b">
        <v>0</v>
      </c>
      <c r="S26" s="21"/>
      <c r="T26" s="94"/>
      <c r="U26" s="91"/>
      <c r="V26" s="92"/>
      <c r="W26" s="1"/>
      <c r="X26" s="1"/>
      <c r="Z26" s="1"/>
      <c r="AA26" s="1"/>
      <c r="AB26" s="1"/>
      <c r="AC26" s="1"/>
      <c r="AD26" s="1"/>
      <c r="AE26" s="1"/>
      <c r="AF26" s="1"/>
      <c r="AG26" s="1"/>
    </row>
    <row r="27">
      <c r="A27" s="1"/>
      <c r="B27" s="15" t="s">
        <v>41</v>
      </c>
      <c r="C27" s="91"/>
      <c r="D27" s="92"/>
      <c r="E27" s="1"/>
      <c r="F27" s="15" t="b">
        <v>0</v>
      </c>
      <c r="G27" s="93"/>
      <c r="H27" s="94"/>
      <c r="I27" s="91"/>
      <c r="J27" s="95"/>
      <c r="K27" s="89" t="str">
        <f t="shared" si="5"/>
        <v/>
      </c>
      <c r="L27" s="1"/>
      <c r="M27" s="15"/>
      <c r="N27" s="91"/>
      <c r="O27" s="91"/>
      <c r="P27" s="46" t="str">
        <f t="shared" si="6"/>
        <v/>
      </c>
      <c r="Q27" s="1"/>
      <c r="R27" s="15" t="b">
        <v>0</v>
      </c>
      <c r="S27" s="21"/>
      <c r="T27" s="94"/>
      <c r="U27" s="91"/>
      <c r="V27" s="92"/>
      <c r="W27" s="1"/>
      <c r="X27" s="1"/>
      <c r="Z27" s="1"/>
      <c r="AA27" s="1"/>
      <c r="AB27" s="1"/>
      <c r="AC27" s="1"/>
      <c r="AD27" s="1"/>
      <c r="AE27" s="1"/>
      <c r="AF27" s="1"/>
      <c r="AG27" s="1"/>
    </row>
    <row r="28">
      <c r="A28" s="1"/>
      <c r="B28" s="53" t="s">
        <v>45</v>
      </c>
      <c r="C28" s="96"/>
      <c r="D28" s="97"/>
      <c r="E28" s="1"/>
      <c r="F28" s="15" t="b">
        <v>0</v>
      </c>
      <c r="G28" s="93"/>
      <c r="H28" s="94"/>
      <c r="I28" s="91"/>
      <c r="J28" s="91"/>
      <c r="K28" s="89" t="str">
        <f t="shared" si="5"/>
        <v/>
      </c>
      <c r="L28" s="1"/>
      <c r="M28" s="15"/>
      <c r="N28" s="91"/>
      <c r="O28" s="91"/>
      <c r="P28" s="46" t="str">
        <f t="shared" si="6"/>
        <v/>
      </c>
      <c r="Q28" s="1"/>
      <c r="R28" s="98" t="b">
        <v>0</v>
      </c>
      <c r="S28" s="90"/>
      <c r="T28" s="94"/>
      <c r="U28" s="99"/>
      <c r="V28" s="92"/>
      <c r="W28" s="1"/>
      <c r="X28" s="1"/>
      <c r="Z28" s="1"/>
      <c r="AA28" s="1"/>
      <c r="AB28" s="1"/>
      <c r="AC28" s="1"/>
      <c r="AD28" s="1"/>
      <c r="AE28" s="1"/>
      <c r="AF28" s="1"/>
      <c r="AG28" s="1"/>
    </row>
    <row r="29">
      <c r="A29" s="1"/>
      <c r="B29" s="100" t="s">
        <v>48</v>
      </c>
      <c r="C29" s="101">
        <f t="shared" ref="C29:D29" si="7">sum(C24:C28)</f>
        <v>0</v>
      </c>
      <c r="D29" s="102">
        <f t="shared" si="7"/>
        <v>0</v>
      </c>
      <c r="E29" s="1"/>
      <c r="F29" s="15" t="b">
        <v>0</v>
      </c>
      <c r="G29" s="93"/>
      <c r="H29" s="94"/>
      <c r="I29" s="91"/>
      <c r="J29" s="91"/>
      <c r="K29" s="89" t="str">
        <f t="shared" si="5"/>
        <v/>
      </c>
      <c r="L29" s="1"/>
      <c r="M29" s="15"/>
      <c r="N29" s="91"/>
      <c r="O29" s="91"/>
      <c r="P29" s="46" t="str">
        <f t="shared" si="6"/>
        <v/>
      </c>
      <c r="Q29" s="1"/>
      <c r="R29" s="98" t="b">
        <v>0</v>
      </c>
      <c r="S29" s="90"/>
      <c r="T29" s="103"/>
      <c r="U29" s="99"/>
      <c r="V29" s="104"/>
      <c r="W29" s="1"/>
      <c r="X29" s="1"/>
      <c r="Y29" s="1"/>
      <c r="Z29" s="1"/>
      <c r="AA29" s="105"/>
      <c r="AB29" s="1"/>
      <c r="AC29" s="1"/>
      <c r="AD29" s="1"/>
      <c r="AE29" s="1"/>
      <c r="AF29" s="1"/>
      <c r="AG29" s="1"/>
    </row>
    <row r="30">
      <c r="A30" s="1"/>
      <c r="B30" s="1"/>
      <c r="C30" s="1"/>
      <c r="D30" s="1"/>
      <c r="E30" s="1"/>
      <c r="F30" s="15" t="b">
        <v>0</v>
      </c>
      <c r="G30" s="93"/>
      <c r="H30" s="94"/>
      <c r="I30" s="91"/>
      <c r="J30" s="91"/>
      <c r="K30" s="89" t="str">
        <f t="shared" si="5"/>
        <v/>
      </c>
      <c r="L30" s="1"/>
      <c r="M30" s="15"/>
      <c r="N30" s="91"/>
      <c r="O30" s="91"/>
      <c r="P30" s="46" t="str">
        <f t="shared" si="6"/>
        <v/>
      </c>
      <c r="Q30" s="1"/>
      <c r="R30" s="98" t="b">
        <v>0</v>
      </c>
      <c r="S30" s="90"/>
      <c r="T30" s="103"/>
      <c r="U30" s="99"/>
      <c r="V30" s="104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>
      <c r="A31" s="1"/>
      <c r="B31" s="106" t="s">
        <v>53</v>
      </c>
      <c r="C31" s="4"/>
      <c r="D31" s="5"/>
      <c r="E31" s="1"/>
      <c r="F31" s="15" t="b">
        <v>0</v>
      </c>
      <c r="G31" s="93"/>
      <c r="H31" s="94"/>
      <c r="I31" s="91"/>
      <c r="J31" s="91"/>
      <c r="K31" s="89" t="str">
        <f t="shared" si="5"/>
        <v/>
      </c>
      <c r="L31" s="1"/>
      <c r="M31" s="15"/>
      <c r="N31" s="91"/>
      <c r="O31" s="91"/>
      <c r="P31" s="46" t="str">
        <f t="shared" si="6"/>
        <v/>
      </c>
      <c r="Q31" s="1"/>
      <c r="R31" s="98" t="b">
        <v>0</v>
      </c>
      <c r="S31" s="90"/>
      <c r="T31" s="103"/>
      <c r="U31" s="99"/>
      <c r="V31" s="104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>
      <c r="A32" s="1"/>
      <c r="B32" s="12"/>
      <c r="D32" s="13"/>
      <c r="E32" s="1"/>
      <c r="F32" s="15" t="b">
        <v>0</v>
      </c>
      <c r="G32" s="93"/>
      <c r="H32" s="94"/>
      <c r="I32" s="91"/>
      <c r="J32" s="91"/>
      <c r="K32" s="89" t="str">
        <f t="shared" si="5"/>
        <v/>
      </c>
      <c r="L32" s="1"/>
      <c r="M32" s="15"/>
      <c r="N32" s="107"/>
      <c r="O32" s="91"/>
      <c r="P32" s="46" t="str">
        <f t="shared" si="6"/>
        <v/>
      </c>
      <c r="Q32" s="1"/>
      <c r="R32" s="98" t="b">
        <v>0</v>
      </c>
      <c r="S32" s="90"/>
      <c r="T32" s="103"/>
      <c r="U32" s="99"/>
      <c r="V32" s="104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>
      <c r="A33" s="1"/>
      <c r="B33" s="108"/>
      <c r="C33" s="109" t="s">
        <v>27</v>
      </c>
      <c r="D33" s="110" t="s">
        <v>16</v>
      </c>
      <c r="E33" s="1"/>
      <c r="F33" s="15" t="b">
        <v>0</v>
      </c>
      <c r="G33" s="93"/>
      <c r="H33" s="94"/>
      <c r="I33" s="91"/>
      <c r="J33" s="91"/>
      <c r="K33" s="89" t="str">
        <f t="shared" si="5"/>
        <v/>
      </c>
      <c r="L33" s="1"/>
      <c r="M33" s="15"/>
      <c r="N33" s="91"/>
      <c r="O33" s="91"/>
      <c r="P33" s="46" t="str">
        <f t="shared" si="6"/>
        <v/>
      </c>
      <c r="Q33" s="1"/>
      <c r="R33" s="98" t="b">
        <v>0</v>
      </c>
      <c r="S33" s="90"/>
      <c r="T33" s="103"/>
      <c r="U33" s="99"/>
      <c r="V33" s="104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>
      <c r="A34" s="1"/>
      <c r="B34" s="15" t="s">
        <v>59</v>
      </c>
      <c r="C34" s="91"/>
      <c r="D34" s="92"/>
      <c r="E34" s="1"/>
      <c r="F34" s="15" t="b">
        <v>0</v>
      </c>
      <c r="G34" s="111"/>
      <c r="H34" s="94"/>
      <c r="I34" s="91"/>
      <c r="J34" s="91"/>
      <c r="K34" s="89" t="str">
        <f t="shared" si="5"/>
        <v/>
      </c>
      <c r="L34" s="1"/>
      <c r="M34" s="15"/>
      <c r="N34" s="91"/>
      <c r="O34" s="91"/>
      <c r="P34" s="46" t="str">
        <f t="shared" si="6"/>
        <v/>
      </c>
      <c r="Q34" s="1"/>
      <c r="R34" s="98" t="b">
        <v>0</v>
      </c>
      <c r="S34" s="90"/>
      <c r="T34" s="103"/>
      <c r="U34" s="99"/>
      <c r="V34" s="104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>
      <c r="A35" s="1"/>
      <c r="B35" s="15" t="s">
        <v>62</v>
      </c>
      <c r="C35" s="91"/>
      <c r="D35" s="92"/>
      <c r="E35" s="1"/>
      <c r="F35" s="15" t="b">
        <v>0</v>
      </c>
      <c r="G35" s="93"/>
      <c r="H35" s="94"/>
      <c r="I35" s="91"/>
      <c r="J35" s="91"/>
      <c r="K35" s="89" t="str">
        <f t="shared" si="5"/>
        <v/>
      </c>
      <c r="L35" s="1"/>
      <c r="M35" s="15"/>
      <c r="N35" s="91"/>
      <c r="O35" s="91"/>
      <c r="P35" s="46" t="str">
        <f t="shared" si="6"/>
        <v/>
      </c>
      <c r="Q35" s="1"/>
      <c r="R35" s="98" t="b">
        <v>0</v>
      </c>
      <c r="S35" s="90"/>
      <c r="T35" s="103"/>
      <c r="U35" s="99"/>
      <c r="V35" s="104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>
      <c r="A36" s="1"/>
      <c r="B36" s="15" t="s">
        <v>64</v>
      </c>
      <c r="C36" s="91"/>
      <c r="D36" s="92"/>
      <c r="E36" s="1"/>
      <c r="F36" s="15" t="b">
        <v>0</v>
      </c>
      <c r="G36" s="93"/>
      <c r="H36" s="94"/>
      <c r="I36" s="91"/>
      <c r="J36" s="91"/>
      <c r="K36" s="89" t="str">
        <f t="shared" si="5"/>
        <v/>
      </c>
      <c r="L36" s="1"/>
      <c r="M36" s="15"/>
      <c r="N36" s="91"/>
      <c r="O36" s="91"/>
      <c r="P36" s="46" t="str">
        <f t="shared" si="6"/>
        <v/>
      </c>
      <c r="Q36" s="1"/>
      <c r="R36" s="98" t="b">
        <v>0</v>
      </c>
      <c r="S36" s="90"/>
      <c r="T36" s="103"/>
      <c r="U36" s="99"/>
      <c r="V36" s="104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>
      <c r="A37" s="1"/>
      <c r="B37" s="15" t="s">
        <v>66</v>
      </c>
      <c r="C37" s="91"/>
      <c r="D37" s="92"/>
      <c r="E37" s="1"/>
      <c r="F37" s="98" t="b">
        <v>0</v>
      </c>
      <c r="G37" s="112"/>
      <c r="H37" s="103"/>
      <c r="I37" s="91"/>
      <c r="J37" s="91"/>
      <c r="K37" s="89"/>
      <c r="L37" s="1"/>
      <c r="M37" s="98"/>
      <c r="N37" s="99"/>
      <c r="O37" s="99"/>
      <c r="P37" s="46" t="str">
        <f t="shared" si="6"/>
        <v/>
      </c>
      <c r="Q37" s="1"/>
      <c r="R37" s="98" t="b">
        <v>0</v>
      </c>
      <c r="S37" s="90"/>
      <c r="T37" s="103"/>
      <c r="U37" s="99"/>
      <c r="V37" s="104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>
      <c r="A38" s="1"/>
      <c r="B38" s="15" t="s">
        <v>67</v>
      </c>
      <c r="C38" s="91"/>
      <c r="D38" s="92"/>
      <c r="E38" s="1"/>
      <c r="F38" s="98" t="b">
        <v>0</v>
      </c>
      <c r="G38" s="112"/>
      <c r="H38" s="103"/>
      <c r="I38" s="99"/>
      <c r="J38" s="91"/>
      <c r="K38" s="89" t="str">
        <f t="shared" ref="K38:K62" si="8">if(I38="",J38,(if(J38="","",I38-J38)))</f>
        <v/>
      </c>
      <c r="L38" s="1"/>
      <c r="M38" s="98"/>
      <c r="N38" s="91"/>
      <c r="O38" s="91"/>
      <c r="P38" s="46" t="str">
        <f t="shared" si="6"/>
        <v/>
      </c>
      <c r="Q38" s="1"/>
      <c r="R38" s="98" t="b">
        <v>0</v>
      </c>
      <c r="S38" s="90"/>
      <c r="T38" s="103"/>
      <c r="U38" s="99"/>
      <c r="V38" s="104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>
      <c r="A39" s="1"/>
      <c r="B39" s="113" t="s">
        <v>48</v>
      </c>
      <c r="C39" s="114">
        <f>SUM(C34:C38)</f>
        <v>0</v>
      </c>
      <c r="D39" s="115">
        <f>sum(D34:D38)</f>
        <v>0</v>
      </c>
      <c r="E39" s="1"/>
      <c r="F39" s="98" t="b">
        <v>0</v>
      </c>
      <c r="G39" s="112"/>
      <c r="H39" s="103"/>
      <c r="I39" s="99"/>
      <c r="J39" s="91"/>
      <c r="K39" s="89" t="str">
        <f t="shared" si="8"/>
        <v/>
      </c>
      <c r="L39" s="1"/>
      <c r="M39" s="98"/>
      <c r="N39" s="91"/>
      <c r="O39" s="91"/>
      <c r="P39" s="46" t="str">
        <f t="shared" si="6"/>
        <v/>
      </c>
      <c r="Q39" s="1"/>
      <c r="R39" s="98" t="b">
        <v>0</v>
      </c>
      <c r="S39" s="90"/>
      <c r="T39" s="103"/>
      <c r="U39" s="99"/>
      <c r="V39" s="104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>
      <c r="A40" s="1"/>
      <c r="B40" s="116"/>
      <c r="C40" s="116"/>
      <c r="D40" s="116"/>
      <c r="E40" s="1"/>
      <c r="F40" s="98" t="b">
        <v>0</v>
      </c>
      <c r="G40" s="112"/>
      <c r="H40" s="103"/>
      <c r="I40" s="99"/>
      <c r="J40" s="91"/>
      <c r="K40" s="89" t="str">
        <f t="shared" si="8"/>
        <v/>
      </c>
      <c r="L40" s="1"/>
      <c r="M40" s="98"/>
      <c r="N40" s="99"/>
      <c r="O40" s="99"/>
      <c r="P40" s="46" t="str">
        <f t="shared" si="6"/>
        <v/>
      </c>
      <c r="Q40" s="1"/>
      <c r="R40" s="98" t="b">
        <v>0</v>
      </c>
      <c r="S40" s="90"/>
      <c r="T40" s="103"/>
      <c r="U40" s="99"/>
      <c r="V40" s="104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>
      <c r="A41" s="1"/>
      <c r="B41" s="117" t="s">
        <v>68</v>
      </c>
      <c r="C41" s="4"/>
      <c r="D41" s="5"/>
      <c r="E41" s="1"/>
      <c r="F41" s="98" t="b">
        <v>0</v>
      </c>
      <c r="G41" s="112"/>
      <c r="H41" s="103"/>
      <c r="I41" s="99"/>
      <c r="J41" s="91"/>
      <c r="K41" s="89" t="str">
        <f t="shared" si="8"/>
        <v/>
      </c>
      <c r="L41" s="1"/>
      <c r="M41" s="98"/>
      <c r="N41" s="99"/>
      <c r="O41" s="99"/>
      <c r="P41" s="46" t="str">
        <f t="shared" si="6"/>
        <v/>
      </c>
      <c r="Q41" s="1"/>
      <c r="R41" s="98" t="b">
        <v>0</v>
      </c>
      <c r="S41" s="90"/>
      <c r="T41" s="103"/>
      <c r="U41" s="99"/>
      <c r="V41" s="104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>
      <c r="A42" s="1"/>
      <c r="B42" s="12"/>
      <c r="D42" s="13"/>
      <c r="E42" s="1"/>
      <c r="F42" s="98" t="b">
        <v>0</v>
      </c>
      <c r="G42" s="112"/>
      <c r="H42" s="103"/>
      <c r="I42" s="99"/>
      <c r="J42" s="99"/>
      <c r="K42" s="89" t="str">
        <f t="shared" si="8"/>
        <v/>
      </c>
      <c r="L42" s="1"/>
      <c r="M42" s="98"/>
      <c r="N42" s="91"/>
      <c r="O42" s="91"/>
      <c r="P42" s="46" t="str">
        <f t="shared" si="6"/>
        <v/>
      </c>
      <c r="Q42" s="1"/>
      <c r="R42" s="98" t="b">
        <v>0</v>
      </c>
      <c r="S42" s="90"/>
      <c r="T42" s="103"/>
      <c r="U42" s="99"/>
      <c r="V42" s="104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>
      <c r="A43" s="1"/>
      <c r="B43" s="118"/>
      <c r="C43" s="119" t="s">
        <v>15</v>
      </c>
      <c r="D43" s="120" t="s">
        <v>16</v>
      </c>
      <c r="E43" s="1"/>
      <c r="F43" s="98" t="b">
        <v>0</v>
      </c>
      <c r="G43" s="112"/>
      <c r="H43" s="103"/>
      <c r="I43" s="99"/>
      <c r="J43" s="91"/>
      <c r="K43" s="89" t="str">
        <f t="shared" si="8"/>
        <v/>
      </c>
      <c r="L43" s="1"/>
      <c r="M43" s="98"/>
      <c r="N43" s="91"/>
      <c r="O43" s="91"/>
      <c r="P43" s="46" t="str">
        <f t="shared" si="6"/>
        <v/>
      </c>
      <c r="Q43" s="1"/>
      <c r="R43" s="98" t="b">
        <v>0</v>
      </c>
      <c r="S43" s="90"/>
      <c r="T43" s="103"/>
      <c r="U43" s="99"/>
      <c r="V43" s="104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>
      <c r="A44" s="1"/>
      <c r="B44" s="44" t="s">
        <v>57</v>
      </c>
      <c r="C44" s="85"/>
      <c r="D44" s="86"/>
      <c r="E44" s="1"/>
      <c r="F44" s="98" t="b">
        <v>0</v>
      </c>
      <c r="G44" s="112"/>
      <c r="H44" s="103"/>
      <c r="I44" s="99"/>
      <c r="J44" s="91"/>
      <c r="K44" s="89" t="str">
        <f t="shared" si="8"/>
        <v/>
      </c>
      <c r="L44" s="1"/>
      <c r="M44" s="98"/>
      <c r="N44" s="99"/>
      <c r="O44" s="91"/>
      <c r="P44" s="46" t="str">
        <f t="shared" si="6"/>
        <v/>
      </c>
      <c r="Q44" s="1"/>
      <c r="R44" s="98" t="b">
        <v>0</v>
      </c>
      <c r="S44" s="90"/>
      <c r="T44" s="103"/>
      <c r="U44" s="99"/>
      <c r="V44" s="104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>
      <c r="A45" s="1"/>
      <c r="B45" s="15" t="s">
        <v>69</v>
      </c>
      <c r="C45" s="91"/>
      <c r="D45" s="92"/>
      <c r="E45" s="1"/>
      <c r="F45" s="98" t="b">
        <v>0</v>
      </c>
      <c r="G45" s="112"/>
      <c r="H45" s="103"/>
      <c r="I45" s="99"/>
      <c r="J45" s="99"/>
      <c r="K45" s="89" t="str">
        <f t="shared" si="8"/>
        <v/>
      </c>
      <c r="L45" s="1"/>
      <c r="M45" s="98"/>
      <c r="N45" s="99"/>
      <c r="O45" s="91"/>
      <c r="P45" s="46" t="str">
        <f t="shared" si="6"/>
        <v/>
      </c>
      <c r="Q45" s="1"/>
      <c r="R45" s="98" t="b">
        <v>0</v>
      </c>
      <c r="S45" s="90"/>
      <c r="T45" s="103"/>
      <c r="U45" s="99"/>
      <c r="V45" s="104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>
      <c r="A46" s="1"/>
      <c r="B46" s="15" t="s">
        <v>70</v>
      </c>
      <c r="C46" s="91"/>
      <c r="D46" s="92"/>
      <c r="E46" s="1"/>
      <c r="F46" s="98" t="b">
        <v>0</v>
      </c>
      <c r="G46" s="112"/>
      <c r="H46" s="103"/>
      <c r="I46" s="91"/>
      <c r="J46" s="91"/>
      <c r="K46" s="89" t="str">
        <f t="shared" si="8"/>
        <v/>
      </c>
      <c r="L46" s="1"/>
      <c r="M46" s="98"/>
      <c r="N46" s="99"/>
      <c r="O46" s="91"/>
      <c r="P46" s="46" t="str">
        <f t="shared" si="6"/>
        <v/>
      </c>
      <c r="Q46" s="1"/>
      <c r="R46" s="98" t="b">
        <v>0</v>
      </c>
      <c r="S46" s="90"/>
      <c r="T46" s="103"/>
      <c r="U46" s="99"/>
      <c r="V46" s="10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>
      <c r="A47" s="1"/>
      <c r="B47" s="15" t="s">
        <v>71</v>
      </c>
      <c r="C47" s="91"/>
      <c r="D47" s="92"/>
      <c r="E47" s="1"/>
      <c r="F47" s="15" t="b">
        <v>0</v>
      </c>
      <c r="G47" s="112"/>
      <c r="H47" s="103"/>
      <c r="I47" s="91"/>
      <c r="J47" s="91"/>
      <c r="K47" s="89" t="str">
        <f t="shared" si="8"/>
        <v/>
      </c>
      <c r="L47" s="1"/>
      <c r="M47" s="98"/>
      <c r="N47" s="99"/>
      <c r="O47" s="99"/>
      <c r="P47" s="46" t="str">
        <f t="shared" si="6"/>
        <v/>
      </c>
      <c r="Q47" s="1"/>
      <c r="R47" s="98" t="b">
        <v>0</v>
      </c>
      <c r="S47" s="90"/>
      <c r="T47" s="103"/>
      <c r="U47" s="99"/>
      <c r="V47" s="104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>
      <c r="A48" s="1"/>
      <c r="B48" s="15" t="s">
        <v>72</v>
      </c>
      <c r="C48" s="91"/>
      <c r="D48" s="92"/>
      <c r="E48" s="1"/>
      <c r="F48" s="15" t="b">
        <v>0</v>
      </c>
      <c r="G48" s="112"/>
      <c r="H48" s="103"/>
      <c r="I48" s="91"/>
      <c r="J48" s="91"/>
      <c r="K48" s="89" t="str">
        <f t="shared" si="8"/>
        <v/>
      </c>
      <c r="L48" s="1"/>
      <c r="M48" s="98"/>
      <c r="N48" s="99"/>
      <c r="O48" s="99"/>
      <c r="P48" s="46" t="str">
        <f t="shared" si="6"/>
        <v/>
      </c>
      <c r="Q48" s="1"/>
      <c r="R48" s="121" t="b">
        <v>0</v>
      </c>
      <c r="S48" s="122"/>
      <c r="T48" s="123"/>
      <c r="U48" s="124"/>
      <c r="V48" s="125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>
      <c r="A49" s="1"/>
      <c r="B49" s="15"/>
      <c r="C49" s="91"/>
      <c r="D49" s="92"/>
      <c r="E49" s="1"/>
      <c r="F49" s="15" t="b">
        <v>0</v>
      </c>
      <c r="G49" s="112"/>
      <c r="H49" s="103"/>
      <c r="I49" s="91"/>
      <c r="J49" s="91"/>
      <c r="K49" s="89" t="str">
        <f t="shared" si="8"/>
        <v/>
      </c>
      <c r="L49" s="1"/>
      <c r="M49" s="98"/>
      <c r="N49" s="99"/>
      <c r="O49" s="99"/>
      <c r="P49" s="46" t="str">
        <f t="shared" si="6"/>
        <v/>
      </c>
      <c r="Q49" s="1"/>
      <c r="R49" s="126"/>
      <c r="S49" s="127" t="s">
        <v>48</v>
      </c>
      <c r="T49" s="127"/>
      <c r="U49" s="128">
        <f>sum(U24:U48)</f>
        <v>0</v>
      </c>
      <c r="V49" s="129">
        <f>SUM(V24:V48)</f>
        <v>0</v>
      </c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>
      <c r="A50" s="1"/>
      <c r="B50" s="15"/>
      <c r="C50" s="91"/>
      <c r="D50" s="92"/>
      <c r="E50" s="1"/>
      <c r="F50" s="15" t="b">
        <v>0</v>
      </c>
      <c r="G50" s="112"/>
      <c r="H50" s="103"/>
      <c r="I50" s="91"/>
      <c r="J50" s="91"/>
      <c r="K50" s="89" t="str">
        <f t="shared" si="8"/>
        <v/>
      </c>
      <c r="M50" s="98"/>
      <c r="N50" s="99"/>
      <c r="O50" s="99"/>
      <c r="P50" s="46" t="str">
        <f t="shared" si="6"/>
        <v/>
      </c>
      <c r="R50" s="33"/>
      <c r="S50" s="33"/>
      <c r="T50" s="33"/>
      <c r="U50" s="33"/>
      <c r="V50" s="33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>
      <c r="A51" s="1"/>
      <c r="B51" s="15"/>
      <c r="C51" s="91"/>
      <c r="D51" s="92"/>
      <c r="E51" s="1"/>
      <c r="F51" s="15" t="b">
        <v>0</v>
      </c>
      <c r="G51" s="112"/>
      <c r="H51" s="103"/>
      <c r="I51" s="91"/>
      <c r="J51" s="91"/>
      <c r="K51" s="89" t="str">
        <f t="shared" si="8"/>
        <v/>
      </c>
      <c r="M51" s="98"/>
      <c r="N51" s="99"/>
      <c r="O51" s="99"/>
      <c r="P51" s="46" t="str">
        <f t="shared" si="6"/>
        <v/>
      </c>
      <c r="R51" s="130" t="s">
        <v>73</v>
      </c>
      <c r="S51" s="4"/>
      <c r="T51" s="4"/>
      <c r="U51" s="4"/>
      <c r="V51" s="5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>
      <c r="A52" s="1"/>
      <c r="B52" s="15"/>
      <c r="C52" s="91"/>
      <c r="D52" s="92"/>
      <c r="E52" s="1"/>
      <c r="F52" s="15" t="b">
        <v>0</v>
      </c>
      <c r="G52" s="112"/>
      <c r="H52" s="103"/>
      <c r="I52" s="91"/>
      <c r="J52" s="91"/>
      <c r="K52" s="89" t="str">
        <f t="shared" si="8"/>
        <v/>
      </c>
      <c r="M52" s="98"/>
      <c r="N52" s="99"/>
      <c r="O52" s="99"/>
      <c r="P52" s="46" t="str">
        <f t="shared" si="6"/>
        <v/>
      </c>
      <c r="R52" s="12"/>
      <c r="V52" s="13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>
      <c r="A53" s="1"/>
      <c r="B53" s="15"/>
      <c r="C53" s="91"/>
      <c r="D53" s="92"/>
      <c r="E53" s="1"/>
      <c r="F53" s="15" t="b">
        <v>0</v>
      </c>
      <c r="G53" s="112"/>
      <c r="H53" s="103"/>
      <c r="I53" s="91"/>
      <c r="J53" s="91"/>
      <c r="K53" s="89" t="str">
        <f t="shared" si="8"/>
        <v/>
      </c>
      <c r="M53" s="98"/>
      <c r="N53" s="99"/>
      <c r="O53" s="99"/>
      <c r="P53" s="46" t="str">
        <f t="shared" si="6"/>
        <v/>
      </c>
      <c r="R53" s="131"/>
      <c r="S53" s="10"/>
      <c r="T53" s="10"/>
      <c r="U53" s="10"/>
      <c r="V53" s="1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>
      <c r="A54" s="1"/>
      <c r="B54" s="15"/>
      <c r="C54" s="91"/>
      <c r="D54" s="92"/>
      <c r="E54" s="1"/>
      <c r="F54" s="15" t="b">
        <v>0</v>
      </c>
      <c r="G54" s="112"/>
      <c r="H54" s="103"/>
      <c r="I54" s="91"/>
      <c r="J54" s="91"/>
      <c r="K54" s="89" t="str">
        <f t="shared" si="8"/>
        <v/>
      </c>
      <c r="M54" s="98"/>
      <c r="N54" s="99"/>
      <c r="O54" s="99"/>
      <c r="P54" s="46" t="str">
        <f t="shared" si="6"/>
        <v/>
      </c>
      <c r="R54" s="132"/>
      <c r="S54" s="133"/>
      <c r="T54" s="133"/>
      <c r="U54" s="133"/>
      <c r="V54" s="17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>
      <c r="A55" s="1"/>
      <c r="B55" s="15"/>
      <c r="C55" s="91"/>
      <c r="D55" s="92"/>
      <c r="E55" s="1"/>
      <c r="F55" s="15" t="b">
        <v>0</v>
      </c>
      <c r="G55" s="112"/>
      <c r="H55" s="103"/>
      <c r="I55" s="91"/>
      <c r="J55" s="91"/>
      <c r="K55" s="89" t="str">
        <f t="shared" si="8"/>
        <v/>
      </c>
      <c r="M55" s="98"/>
      <c r="N55" s="99"/>
      <c r="O55" s="99"/>
      <c r="P55" s="46" t="str">
        <f t="shared" si="6"/>
        <v/>
      </c>
      <c r="R55" s="132"/>
      <c r="S55" s="133"/>
      <c r="T55" s="133"/>
      <c r="U55" s="133"/>
      <c r="V55" s="17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>
      <c r="A56" s="1"/>
      <c r="B56" s="15"/>
      <c r="C56" s="91"/>
      <c r="D56" s="92"/>
      <c r="E56" s="1"/>
      <c r="F56" s="15" t="b">
        <v>0</v>
      </c>
      <c r="G56" s="112"/>
      <c r="H56" s="103"/>
      <c r="I56" s="91"/>
      <c r="J56" s="91"/>
      <c r="K56" s="89" t="str">
        <f t="shared" si="8"/>
        <v/>
      </c>
      <c r="M56" s="98"/>
      <c r="N56" s="99"/>
      <c r="O56" s="99"/>
      <c r="P56" s="46" t="str">
        <f t="shared" si="6"/>
        <v/>
      </c>
      <c r="R56" s="134"/>
      <c r="S56" s="133"/>
      <c r="T56" s="133"/>
      <c r="U56" s="133"/>
      <c r="V56" s="17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>
      <c r="A57" s="1"/>
      <c r="B57" s="15"/>
      <c r="C57" s="91"/>
      <c r="D57" s="92"/>
      <c r="E57" s="1"/>
      <c r="F57" s="15" t="b">
        <v>0</v>
      </c>
      <c r="G57" s="112"/>
      <c r="H57" s="103"/>
      <c r="I57" s="91"/>
      <c r="J57" s="91"/>
      <c r="K57" s="89" t="str">
        <f t="shared" si="8"/>
        <v/>
      </c>
      <c r="M57" s="98"/>
      <c r="N57" s="99"/>
      <c r="O57" s="99"/>
      <c r="P57" s="46" t="str">
        <f t="shared" si="6"/>
        <v/>
      </c>
      <c r="R57" s="134"/>
      <c r="S57" s="133"/>
      <c r="T57" s="133"/>
      <c r="U57" s="133"/>
      <c r="V57" s="17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>
      <c r="A58" s="1"/>
      <c r="B58" s="15"/>
      <c r="C58" s="91"/>
      <c r="D58" s="92"/>
      <c r="E58" s="1"/>
      <c r="F58" s="15" t="b">
        <v>0</v>
      </c>
      <c r="G58" s="112"/>
      <c r="H58" s="103"/>
      <c r="I58" s="91"/>
      <c r="J58" s="91"/>
      <c r="K58" s="89" t="str">
        <f t="shared" si="8"/>
        <v/>
      </c>
      <c r="M58" s="98"/>
      <c r="N58" s="99"/>
      <c r="O58" s="99"/>
      <c r="P58" s="46" t="str">
        <f t="shared" si="6"/>
        <v/>
      </c>
      <c r="R58" s="134"/>
      <c r="S58" s="133"/>
      <c r="T58" s="133"/>
      <c r="U58" s="133"/>
      <c r="V58" s="17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>
      <c r="A59" s="1"/>
      <c r="B59" s="15"/>
      <c r="C59" s="91"/>
      <c r="D59" s="92"/>
      <c r="E59" s="1"/>
      <c r="F59" s="15" t="b">
        <v>0</v>
      </c>
      <c r="G59" s="112"/>
      <c r="H59" s="103"/>
      <c r="I59" s="91"/>
      <c r="J59" s="91"/>
      <c r="K59" s="89" t="str">
        <f t="shared" si="8"/>
        <v/>
      </c>
      <c r="M59" s="98"/>
      <c r="N59" s="99"/>
      <c r="O59" s="99"/>
      <c r="P59" s="46" t="str">
        <f t="shared" si="6"/>
        <v/>
      </c>
      <c r="R59" s="134"/>
      <c r="S59" s="133"/>
      <c r="T59" s="133"/>
      <c r="U59" s="133"/>
      <c r="V59" s="17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>
      <c r="A60" s="1"/>
      <c r="B60" s="15"/>
      <c r="C60" s="91"/>
      <c r="D60" s="92"/>
      <c r="E60" s="1"/>
      <c r="F60" s="15" t="b">
        <v>0</v>
      </c>
      <c r="G60" s="112"/>
      <c r="H60" s="103"/>
      <c r="I60" s="91"/>
      <c r="J60" s="91"/>
      <c r="K60" s="89" t="str">
        <f t="shared" si="8"/>
        <v/>
      </c>
      <c r="M60" s="98"/>
      <c r="N60" s="99"/>
      <c r="O60" s="99"/>
      <c r="P60" s="46" t="str">
        <f t="shared" si="6"/>
        <v/>
      </c>
      <c r="R60" s="134"/>
      <c r="S60" s="133"/>
      <c r="T60" s="133"/>
      <c r="U60" s="133"/>
      <c r="V60" s="17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>
      <c r="A61" s="1"/>
      <c r="B61" s="15"/>
      <c r="C61" s="91"/>
      <c r="D61" s="92"/>
      <c r="E61" s="1"/>
      <c r="F61" s="15" t="b">
        <v>0</v>
      </c>
      <c r="G61" s="112"/>
      <c r="H61" s="103"/>
      <c r="I61" s="91"/>
      <c r="J61" s="91"/>
      <c r="K61" s="89" t="str">
        <f t="shared" si="8"/>
        <v/>
      </c>
      <c r="M61" s="98"/>
      <c r="N61" s="99"/>
      <c r="O61" s="99"/>
      <c r="P61" s="46" t="str">
        <f t="shared" si="6"/>
        <v/>
      </c>
      <c r="R61" s="134"/>
      <c r="S61" s="133"/>
      <c r="T61" s="133"/>
      <c r="U61" s="133"/>
      <c r="V61" s="17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>
      <c r="A62" s="1"/>
      <c r="B62" s="15"/>
      <c r="C62" s="91"/>
      <c r="D62" s="92"/>
      <c r="E62" s="1"/>
      <c r="F62" s="15" t="b">
        <v>0</v>
      </c>
      <c r="G62" s="112"/>
      <c r="H62" s="103"/>
      <c r="I62" s="91"/>
      <c r="J62" s="91"/>
      <c r="K62" s="89" t="str">
        <f t="shared" si="8"/>
        <v/>
      </c>
      <c r="M62" s="98"/>
      <c r="N62" s="99"/>
      <c r="O62" s="99"/>
      <c r="P62" s="46" t="str">
        <f t="shared" si="6"/>
        <v/>
      </c>
      <c r="R62" s="134"/>
      <c r="S62" s="133"/>
      <c r="T62" s="133"/>
      <c r="U62" s="133"/>
      <c r="V62" s="17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>
      <c r="A63" s="1"/>
      <c r="B63" s="135" t="s">
        <v>48</v>
      </c>
      <c r="C63" s="136">
        <f t="shared" ref="C63:D63" si="9">SUM(C44:C62)</f>
        <v>0</v>
      </c>
      <c r="D63" s="137">
        <f t="shared" si="9"/>
        <v>0</v>
      </c>
      <c r="E63" s="1"/>
      <c r="F63" s="138"/>
      <c r="G63" s="139" t="s">
        <v>48</v>
      </c>
      <c r="H63" s="140"/>
      <c r="I63" s="141">
        <f t="shared" ref="I63:J63" si="10">SUM(I24:I62)</f>
        <v>0</v>
      </c>
      <c r="J63" s="141">
        <f t="shared" si="10"/>
        <v>0</v>
      </c>
      <c r="K63" s="142">
        <f>sum(K24:K62)</f>
        <v>0</v>
      </c>
      <c r="L63" s="1"/>
      <c r="M63" s="143" t="s">
        <v>48</v>
      </c>
      <c r="N63" s="144">
        <f t="shared" ref="N63:P63" si="11">SUM(N24:N62)</f>
        <v>0</v>
      </c>
      <c r="O63" s="144">
        <f t="shared" si="11"/>
        <v>0</v>
      </c>
      <c r="P63" s="145">
        <f t="shared" si="11"/>
        <v>0</v>
      </c>
      <c r="Q63" s="1"/>
      <c r="R63" s="146"/>
      <c r="S63" s="147"/>
      <c r="T63" s="147"/>
      <c r="U63" s="147"/>
      <c r="V63" s="24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>
      <c r="A64" s="1"/>
      <c r="B64" s="1"/>
      <c r="C64" s="1"/>
      <c r="D64" s="1"/>
      <c r="E64" s="1"/>
      <c r="F64" s="1"/>
      <c r="G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>
      <c r="A65" s="1"/>
      <c r="B65" s="1"/>
      <c r="C65" s="1"/>
      <c r="D65" s="1"/>
      <c r="E65" s="1"/>
      <c r="F65" s="1"/>
      <c r="G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>
      <c r="A66" s="1"/>
      <c r="B66" s="1"/>
      <c r="C66" s="1"/>
      <c r="D66" s="1"/>
      <c r="E66" s="1"/>
      <c r="F66" s="1"/>
      <c r="G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>
      <c r="A67" s="1"/>
      <c r="B67" s="1"/>
      <c r="C67" s="1"/>
      <c r="D67" s="1"/>
      <c r="E67" s="1"/>
      <c r="F67" s="1"/>
      <c r="G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>
      <c r="A68" s="1"/>
      <c r="B68" s="1"/>
      <c r="C68" s="1"/>
      <c r="D68" s="1"/>
      <c r="E68" s="1"/>
      <c r="F68" s="1"/>
      <c r="G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>
      <c r="A69" s="1"/>
      <c r="B69" s="1"/>
      <c r="C69" s="1"/>
      <c r="D69" s="1"/>
      <c r="E69" s="1"/>
      <c r="F69" s="1"/>
      <c r="G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>
      <c r="A70" s="1"/>
      <c r="B70" s="1"/>
      <c r="C70" s="1"/>
      <c r="D70" s="1"/>
      <c r="E70" s="1"/>
      <c r="F70" s="1"/>
      <c r="G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>
      <c r="A71" s="1"/>
      <c r="B71" s="1"/>
      <c r="C71" s="1"/>
      <c r="D71" s="1"/>
      <c r="E71" s="1"/>
      <c r="F71" s="1"/>
      <c r="G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>
      <c r="A72" s="1"/>
      <c r="B72" s="1"/>
      <c r="C72" s="1"/>
      <c r="D72" s="1"/>
      <c r="E72" s="1"/>
      <c r="F72" s="1"/>
      <c r="G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>
      <c r="A73" s="1"/>
      <c r="B73" s="1"/>
      <c r="C73" s="1"/>
      <c r="D73" s="1"/>
      <c r="E73" s="1"/>
      <c r="F73" s="1"/>
      <c r="G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>
      <c r="A74" s="1"/>
      <c r="B74" s="1"/>
      <c r="C74" s="1"/>
      <c r="D74" s="1"/>
      <c r="E74" s="1"/>
      <c r="F74" s="1"/>
      <c r="G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>
      <c r="A75" s="1"/>
      <c r="B75" s="1"/>
      <c r="C75" s="1"/>
      <c r="D75" s="1"/>
      <c r="E75" s="1"/>
      <c r="F75" s="1"/>
      <c r="G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>
      <c r="A76" s="1"/>
      <c r="B76" s="1"/>
      <c r="C76" s="1"/>
      <c r="D76" s="1"/>
      <c r="E76" s="1"/>
      <c r="F76" s="1"/>
      <c r="G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>
      <c r="A77" s="1"/>
      <c r="B77" s="1"/>
      <c r="C77" s="1"/>
      <c r="D77" s="1"/>
      <c r="E77" s="1"/>
      <c r="F77" s="1"/>
      <c r="G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>
      <c r="A78" s="1"/>
      <c r="B78" s="1"/>
      <c r="C78" s="1"/>
      <c r="D78" s="1"/>
      <c r="E78" s="1"/>
      <c r="F78" s="1"/>
      <c r="G78" s="1"/>
      <c r="H78" s="189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</row>
  </sheetData>
  <mergeCells count="35">
    <mergeCell ref="B4:D5"/>
    <mergeCell ref="J4:M6"/>
    <mergeCell ref="N4:P6"/>
    <mergeCell ref="Q4:T6"/>
    <mergeCell ref="U4:V6"/>
    <mergeCell ref="C6:D6"/>
    <mergeCell ref="C7:D7"/>
    <mergeCell ref="F4:I6"/>
    <mergeCell ref="F7:I9"/>
    <mergeCell ref="J7:M9"/>
    <mergeCell ref="N7:P9"/>
    <mergeCell ref="Q7:T9"/>
    <mergeCell ref="U7:V9"/>
    <mergeCell ref="C8:D8"/>
    <mergeCell ref="C9:D9"/>
    <mergeCell ref="B11:D12"/>
    <mergeCell ref="I15:I16"/>
    <mergeCell ref="B21:D22"/>
    <mergeCell ref="F21:J22"/>
    <mergeCell ref="M21:P22"/>
    <mergeCell ref="R21:V22"/>
    <mergeCell ref="R57:V57"/>
    <mergeCell ref="R58:V58"/>
    <mergeCell ref="R59:V59"/>
    <mergeCell ref="R60:V60"/>
    <mergeCell ref="R61:V61"/>
    <mergeCell ref="R62:V62"/>
    <mergeCell ref="R63:V63"/>
    <mergeCell ref="B31:D32"/>
    <mergeCell ref="B41:D42"/>
    <mergeCell ref="R51:V52"/>
    <mergeCell ref="R53:V53"/>
    <mergeCell ref="R54:V54"/>
    <mergeCell ref="R55:V55"/>
    <mergeCell ref="R56:V56"/>
  </mergeCells>
  <conditionalFormatting sqref="K24:K62">
    <cfRule type="cellIs" dxfId="0" priority="1" operator="greaterThan">
      <formula>0</formula>
    </cfRule>
  </conditionalFormatting>
  <conditionalFormatting sqref="K24:K62">
    <cfRule type="cellIs" dxfId="1" priority="2" operator="lessThan">
      <formula>0</formula>
    </cfRule>
  </conditionalFormatting>
  <conditionalFormatting sqref="P24:P62">
    <cfRule type="cellIs" dxfId="0" priority="3" operator="greaterThan">
      <formula>0</formula>
    </cfRule>
  </conditionalFormatting>
  <conditionalFormatting sqref="P24:P62">
    <cfRule type="cellIs" dxfId="1" priority="4" operator="lessThan">
      <formula>0</formula>
    </cfRule>
  </conditionalFormatting>
  <conditionalFormatting sqref="P24:P62">
    <cfRule type="cellIs" dxfId="2" priority="5" operator="equal">
      <formula>0</formula>
    </cfRule>
  </conditionalFormatting>
  <conditionalFormatting sqref="K24:K62">
    <cfRule type="cellIs" dxfId="2" priority="6" operator="equal">
      <formula>0</formula>
    </cfRule>
  </conditionalFormatting>
  <conditionalFormatting sqref="K63">
    <cfRule type="cellIs" dxfId="3" priority="7" operator="greaterThan">
      <formula>0</formula>
    </cfRule>
  </conditionalFormatting>
  <conditionalFormatting sqref="K63">
    <cfRule type="cellIs" dxfId="4" priority="8" operator="lessThan">
      <formula>0</formula>
    </cfRule>
  </conditionalFormatting>
  <conditionalFormatting sqref="P63">
    <cfRule type="cellIs" dxfId="3" priority="9" operator="greaterThan">
      <formula>0</formula>
    </cfRule>
  </conditionalFormatting>
  <conditionalFormatting sqref="K63">
    <cfRule type="cellIs" dxfId="5" priority="10" operator="equal">
      <formula>0</formula>
    </cfRule>
  </conditionalFormatting>
  <dataValidations>
    <dataValidation type="list" allowBlank="1" showErrorMessage="1" sqref="T24:T27 T29:T48 H24:H62">
      <formula1>setting!$A$2:$A$32</formula1>
    </dataValidation>
    <dataValidation type="list" allowBlank="1" showErrorMessage="1" sqref="T28">
      <formula1>setting!$A$2:$A$33</formula1>
    </dataValidation>
    <dataValidation type="list" allowBlank="1" showErrorMessage="1" sqref="C8">
      <formula1>"$,£,€,¥,₽,₩,R$"</formula1>
    </dataValidation>
    <dataValidation type="custom" allowBlank="1" showDropDown="1" sqref="C7">
      <formula1>OR(NOT(ISERROR(DATEVALUE(C7))), AND(ISNUMBER(C7), LEFT(CELL("format", C7))="D"))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15.0"/>
    <col customWidth="1" min="5" max="5" width="1.38"/>
    <col customWidth="1" min="6" max="6" width="3.38"/>
    <col customWidth="1" min="7" max="7" width="15.5"/>
    <col customWidth="1" min="8" max="8" width="7.0"/>
    <col customWidth="1" min="12" max="12" width="2.63"/>
    <col customWidth="1" min="13" max="13" width="15.13"/>
    <col customWidth="1" min="17" max="17" width="2.63"/>
    <col customWidth="1" min="18" max="18" width="3.13"/>
    <col customWidth="1" min="19" max="19" width="13.25"/>
    <col customWidth="1" min="20" max="20" width="5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40.5" customHeight="1">
      <c r="A2" s="1"/>
      <c r="B2" s="1"/>
      <c r="C2" s="2" t="s">
        <v>89</v>
      </c>
      <c r="D2" s="1"/>
      <c r="E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ht="5.25" customHeight="1">
      <c r="A3" s="1"/>
      <c r="B3" s="1"/>
      <c r="C3" s="1"/>
      <c r="D3" s="1"/>
      <c r="E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>
      <c r="A4" s="1"/>
      <c r="B4" s="3" t="s">
        <v>1</v>
      </c>
      <c r="C4" s="4"/>
      <c r="D4" s="5"/>
      <c r="E4" s="1"/>
      <c r="F4" s="6" t="s">
        <v>2</v>
      </c>
      <c r="G4" s="4"/>
      <c r="H4" s="4"/>
      <c r="I4" s="4"/>
      <c r="J4" s="7" t="s">
        <v>3</v>
      </c>
      <c r="K4" s="4"/>
      <c r="L4" s="4"/>
      <c r="M4" s="4"/>
      <c r="N4" s="7" t="s">
        <v>4</v>
      </c>
      <c r="O4" s="4"/>
      <c r="P4" s="4"/>
      <c r="Q4" s="8" t="s">
        <v>5</v>
      </c>
      <c r="R4" s="4"/>
      <c r="S4" s="4"/>
      <c r="T4" s="4"/>
      <c r="U4" s="7" t="s">
        <v>6</v>
      </c>
      <c r="V4" s="5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>
      <c r="A5" s="1"/>
      <c r="B5" s="9"/>
      <c r="C5" s="10"/>
      <c r="D5" s="11"/>
      <c r="E5" s="1"/>
      <c r="F5" s="12"/>
      <c r="V5" s="13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>
      <c r="A6" s="1"/>
      <c r="B6" s="15" t="s">
        <v>7</v>
      </c>
      <c r="C6" s="16">
        <v>45748.0</v>
      </c>
      <c r="D6" s="17"/>
      <c r="E6" s="1"/>
      <c r="F6" s="12"/>
      <c r="V6" s="13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>
      <c r="A7" s="1"/>
      <c r="B7" s="15" t="s">
        <v>8</v>
      </c>
      <c r="C7" s="16">
        <v>45777.0</v>
      </c>
      <c r="D7" s="17"/>
      <c r="E7" s="1"/>
      <c r="F7" s="18">
        <f>D15</f>
        <v>0</v>
      </c>
      <c r="J7" s="19">
        <f>D19</f>
        <v>0</v>
      </c>
      <c r="N7" s="20">
        <f>D17</f>
        <v>0</v>
      </c>
      <c r="Q7" s="19">
        <f>D18</f>
        <v>0</v>
      </c>
      <c r="U7" s="19">
        <f>D16</f>
        <v>0</v>
      </c>
      <c r="V7" s="13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>
      <c r="A8" s="1"/>
      <c r="B8" s="15" t="s">
        <v>9</v>
      </c>
      <c r="C8" s="21" t="s">
        <v>10</v>
      </c>
      <c r="D8" s="17"/>
      <c r="E8" s="1"/>
      <c r="F8" s="12"/>
      <c r="V8" s="13"/>
      <c r="W8" s="1"/>
      <c r="X8" s="1"/>
      <c r="Y8" s="1"/>
      <c r="AA8" s="1"/>
      <c r="AB8" s="1"/>
      <c r="AC8" s="1"/>
      <c r="AD8" s="1"/>
      <c r="AE8" s="1"/>
      <c r="AF8" s="1"/>
      <c r="AG8" s="1"/>
    </row>
    <row r="9">
      <c r="A9" s="1"/>
      <c r="B9" s="22" t="s">
        <v>11</v>
      </c>
      <c r="C9" s="23">
        <f>March!J7</f>
        <v>0</v>
      </c>
      <c r="D9" s="24"/>
      <c r="E9" s="1"/>
      <c r="F9" s="25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7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>
      <c r="A10" s="1"/>
      <c r="B10" s="28" t="s">
        <v>12</v>
      </c>
      <c r="C10" s="29">
        <f>D16+D17+D18</f>
        <v>0</v>
      </c>
      <c r="D10" s="29">
        <f>D19</f>
        <v>0</v>
      </c>
      <c r="E10" s="1"/>
      <c r="W10" s="1"/>
      <c r="X10" s="1"/>
      <c r="Y10" s="1"/>
      <c r="Z10" s="1"/>
      <c r="AA10" s="1"/>
      <c r="AB10" s="1"/>
      <c r="AC10" s="30"/>
      <c r="AD10" s="30"/>
      <c r="AE10" s="30"/>
      <c r="AF10" s="30"/>
      <c r="AG10" s="1"/>
    </row>
    <row r="11">
      <c r="A11" s="1"/>
      <c r="B11" s="31" t="s">
        <v>13</v>
      </c>
      <c r="C11" s="4"/>
      <c r="D11" s="5"/>
      <c r="E11" s="1"/>
      <c r="F11" s="32"/>
      <c r="G11" s="33"/>
      <c r="H11" s="33"/>
      <c r="I11" s="33"/>
      <c r="J11" s="33"/>
      <c r="K11" s="34"/>
      <c r="M11" s="32"/>
      <c r="N11" s="33"/>
      <c r="O11" s="33"/>
      <c r="P11" s="34"/>
      <c r="R11" s="32"/>
      <c r="S11" s="33"/>
      <c r="T11" s="33"/>
      <c r="U11" s="33"/>
      <c r="V11" s="34"/>
      <c r="W11" s="1"/>
      <c r="X11" s="1"/>
      <c r="Y11" s="1"/>
      <c r="Z11" s="1"/>
      <c r="AA11" s="1"/>
      <c r="AB11" s="1"/>
      <c r="AC11" s="30"/>
      <c r="AD11" s="30"/>
      <c r="AE11" s="30"/>
      <c r="AF11" s="30"/>
      <c r="AG11" s="1"/>
    </row>
    <row r="12">
      <c r="A12" s="1"/>
      <c r="B12" s="12"/>
      <c r="D12" s="13"/>
      <c r="E12" s="1"/>
      <c r="F12" s="35"/>
      <c r="G12" s="36"/>
      <c r="H12" s="36"/>
      <c r="I12" s="36"/>
      <c r="J12" s="36"/>
      <c r="K12" s="37"/>
      <c r="L12" s="1"/>
      <c r="M12" s="38"/>
      <c r="N12" s="1"/>
      <c r="O12" s="1"/>
      <c r="P12" s="39"/>
      <c r="Q12" s="1"/>
      <c r="R12" s="38"/>
      <c r="S12" s="1"/>
      <c r="T12" s="1"/>
      <c r="U12" s="1"/>
      <c r="V12" s="39"/>
      <c r="W12" s="1"/>
      <c r="X12" s="1"/>
      <c r="Y12" s="1"/>
      <c r="Z12" s="1"/>
      <c r="AA12" s="1"/>
      <c r="AB12" s="1"/>
      <c r="AC12" s="30"/>
      <c r="AD12" s="28" t="s">
        <v>14</v>
      </c>
      <c r="AE12" s="29">
        <f>V49</f>
        <v>0</v>
      </c>
      <c r="AF12" s="30"/>
      <c r="AG12" s="1"/>
    </row>
    <row r="13">
      <c r="A13" s="1"/>
      <c r="B13" s="40"/>
      <c r="C13" s="41" t="s">
        <v>15</v>
      </c>
      <c r="D13" s="42" t="s">
        <v>16</v>
      </c>
      <c r="E13" s="1"/>
      <c r="F13" s="43"/>
      <c r="G13" s="36"/>
      <c r="H13" s="36"/>
      <c r="I13" s="36"/>
      <c r="J13" s="36"/>
      <c r="K13" s="37"/>
      <c r="L13" s="1"/>
      <c r="M13" s="38"/>
      <c r="N13" s="1"/>
      <c r="O13" s="1"/>
      <c r="P13" s="39"/>
      <c r="Q13" s="1"/>
      <c r="R13" s="38"/>
      <c r="S13" s="1"/>
      <c r="T13" s="1"/>
      <c r="U13" s="1"/>
      <c r="V13" s="39"/>
      <c r="W13" s="1"/>
      <c r="X13" s="1"/>
      <c r="Y13" s="1"/>
      <c r="Z13" s="1"/>
      <c r="AA13" s="1"/>
      <c r="AB13" s="1"/>
      <c r="AC13" s="30"/>
      <c r="AD13" s="28" t="s">
        <v>17</v>
      </c>
      <c r="AE13" s="29">
        <f>J63</f>
        <v>0</v>
      </c>
      <c r="AF13" s="30"/>
      <c r="AG13" s="1"/>
    </row>
    <row r="14">
      <c r="A14" s="1"/>
      <c r="B14" s="44" t="s">
        <v>11</v>
      </c>
      <c r="C14" s="45">
        <f>C9</f>
        <v>0</v>
      </c>
      <c r="D14" s="46">
        <f>C9</f>
        <v>0</v>
      </c>
      <c r="E14" s="47" t="s">
        <v>18</v>
      </c>
      <c r="F14" s="43"/>
      <c r="G14" s="36"/>
      <c r="H14" s="36"/>
      <c r="I14" s="36"/>
      <c r="J14" s="36"/>
      <c r="K14" s="37"/>
      <c r="L14" s="1"/>
      <c r="M14" s="38"/>
      <c r="N14" s="1"/>
      <c r="O14" s="1"/>
      <c r="P14" s="39"/>
      <c r="Q14" s="1"/>
      <c r="R14" s="38"/>
      <c r="S14" s="1"/>
      <c r="T14" s="1"/>
      <c r="U14" s="1"/>
      <c r="V14" s="39"/>
      <c r="W14" s="1"/>
      <c r="X14" s="1"/>
      <c r="Y14" s="1"/>
      <c r="Z14" s="1"/>
      <c r="AA14" s="1"/>
      <c r="AB14" s="1"/>
      <c r="AC14" s="30"/>
      <c r="AD14" s="28" t="s">
        <v>19</v>
      </c>
      <c r="AE14" s="48">
        <f>O63</f>
        <v>0</v>
      </c>
      <c r="AF14" s="30"/>
      <c r="AG14" s="1"/>
    </row>
    <row r="15">
      <c r="A15" s="1"/>
      <c r="B15" s="15" t="s">
        <v>20</v>
      </c>
      <c r="C15" s="49">
        <f t="shared" ref="C15:D15" si="1">C29+C39</f>
        <v>0</v>
      </c>
      <c r="D15" s="50">
        <f t="shared" si="1"/>
        <v>0</v>
      </c>
      <c r="E15" s="1"/>
      <c r="F15" s="43"/>
      <c r="G15" s="51"/>
      <c r="H15" s="51"/>
      <c r="I15" s="52">
        <f>D19</f>
        <v>0</v>
      </c>
      <c r="J15" s="51"/>
      <c r="K15" s="37"/>
      <c r="L15" s="1"/>
      <c r="M15" s="38"/>
      <c r="N15" s="1"/>
      <c r="O15" s="1"/>
      <c r="P15" s="39"/>
      <c r="Q15" s="1"/>
      <c r="R15" s="38"/>
      <c r="S15" s="1"/>
      <c r="T15" s="1"/>
      <c r="U15" s="1"/>
      <c r="V15" s="39"/>
      <c r="W15" s="1"/>
      <c r="X15" s="1"/>
      <c r="Y15" s="1"/>
      <c r="Z15" s="1"/>
      <c r="AA15" s="1"/>
      <c r="AB15" s="1"/>
      <c r="AC15" s="30"/>
      <c r="AD15" s="28" t="s">
        <v>21</v>
      </c>
      <c r="AE15" s="29">
        <f>D63</f>
        <v>0</v>
      </c>
      <c r="AF15" s="30"/>
      <c r="AG15" s="1"/>
    </row>
    <row r="16">
      <c r="A16" s="1"/>
      <c r="B16" s="15" t="s">
        <v>6</v>
      </c>
      <c r="C16" s="49">
        <f t="shared" ref="C16:D16" si="2">C63</f>
        <v>0</v>
      </c>
      <c r="D16" s="50">
        <f t="shared" si="2"/>
        <v>0</v>
      </c>
      <c r="E16" s="1"/>
      <c r="F16" s="43"/>
      <c r="G16" s="51"/>
      <c r="H16" s="51"/>
      <c r="J16" s="51"/>
      <c r="K16" s="37"/>
      <c r="L16" s="1"/>
      <c r="M16" s="38"/>
      <c r="N16" s="1"/>
      <c r="O16" s="1"/>
      <c r="P16" s="39"/>
      <c r="Q16" s="1"/>
      <c r="R16" s="38"/>
      <c r="S16" s="1"/>
      <c r="T16" s="1"/>
      <c r="U16" s="1"/>
      <c r="V16" s="39"/>
      <c r="W16" s="1"/>
      <c r="X16" s="1"/>
      <c r="Y16" s="1"/>
      <c r="Z16" s="1"/>
      <c r="AA16" s="1"/>
      <c r="AB16" s="1"/>
      <c r="AC16" s="30"/>
      <c r="AD16" s="30"/>
      <c r="AE16" s="30"/>
      <c r="AF16" s="30"/>
      <c r="AG16" s="1"/>
    </row>
    <row r="17">
      <c r="A17" s="1"/>
      <c r="B17" s="15" t="s">
        <v>4</v>
      </c>
      <c r="C17" s="49">
        <f t="shared" ref="C17:D17" si="3">I63+N63</f>
        <v>0</v>
      </c>
      <c r="D17" s="50">
        <f t="shared" si="3"/>
        <v>0</v>
      </c>
      <c r="E17" s="1"/>
      <c r="F17" s="43"/>
      <c r="G17" s="36"/>
      <c r="H17" s="36"/>
      <c r="I17" s="36"/>
      <c r="J17" s="36"/>
      <c r="K17" s="37"/>
      <c r="L17" s="1"/>
      <c r="M17" s="38"/>
      <c r="N17" s="1"/>
      <c r="O17" s="1"/>
      <c r="P17" s="39"/>
      <c r="Q17" s="1"/>
      <c r="R17" s="38"/>
      <c r="S17" s="1"/>
      <c r="T17" s="1"/>
      <c r="U17" s="1"/>
      <c r="V17" s="39"/>
      <c r="W17" s="1"/>
      <c r="X17" s="1"/>
      <c r="Y17" s="1"/>
      <c r="Z17" s="1"/>
      <c r="AA17" s="1"/>
      <c r="AB17" s="1"/>
      <c r="AC17" s="30"/>
      <c r="AD17" s="30"/>
      <c r="AE17" s="30"/>
      <c r="AF17" s="30"/>
      <c r="AG17" s="1"/>
    </row>
    <row r="18">
      <c r="A18" s="1"/>
      <c r="B18" s="53" t="s">
        <v>22</v>
      </c>
      <c r="C18" s="54">
        <f t="shared" ref="C18:D18" si="4">U49</f>
        <v>0</v>
      </c>
      <c r="D18" s="55">
        <f t="shared" si="4"/>
        <v>0</v>
      </c>
      <c r="E18" s="1"/>
      <c r="F18" s="43"/>
      <c r="G18" s="36"/>
      <c r="H18" s="36"/>
      <c r="I18" s="36"/>
      <c r="J18" s="36"/>
      <c r="K18" s="37"/>
      <c r="L18" s="1"/>
      <c r="M18" s="38"/>
      <c r="N18" s="1"/>
      <c r="O18" s="1"/>
      <c r="P18" s="39"/>
      <c r="Q18" s="1"/>
      <c r="R18" s="38"/>
      <c r="S18" s="1"/>
      <c r="T18" s="1"/>
      <c r="U18" s="1"/>
      <c r="V18" s="39"/>
      <c r="W18" s="1"/>
      <c r="X18" s="1"/>
      <c r="Y18" s="1"/>
      <c r="Z18" s="1"/>
      <c r="AA18" s="1"/>
      <c r="AB18" s="1"/>
      <c r="AC18" s="30"/>
      <c r="AD18" s="30"/>
      <c r="AE18" s="30"/>
      <c r="AF18" s="30"/>
      <c r="AG18" s="1"/>
    </row>
    <row r="19">
      <c r="A19" s="1"/>
      <c r="B19" s="56" t="s">
        <v>23</v>
      </c>
      <c r="C19" s="57">
        <f>C14+C15-C16-C17-C18</f>
        <v>0</v>
      </c>
      <c r="D19" s="58">
        <f>D14+D15-D17-D18-D16</f>
        <v>0</v>
      </c>
      <c r="E19" s="1"/>
      <c r="F19" s="59"/>
      <c r="G19" s="60"/>
      <c r="H19" s="60"/>
      <c r="I19" s="60"/>
      <c r="J19" s="60"/>
      <c r="K19" s="61"/>
      <c r="L19" s="1"/>
      <c r="M19" s="62"/>
      <c r="N19" s="63"/>
      <c r="O19" s="63"/>
      <c r="P19" s="64"/>
      <c r="Q19" s="1"/>
      <c r="R19" s="62"/>
      <c r="S19" s="63"/>
      <c r="T19" s="63"/>
      <c r="U19" s="63"/>
      <c r="V19" s="64"/>
      <c r="W19" s="1"/>
      <c r="X19" s="1"/>
      <c r="Y19" s="1"/>
      <c r="Z19" s="1"/>
      <c r="AA19" s="1"/>
      <c r="AB19" s="1"/>
      <c r="AC19" s="30"/>
      <c r="AD19" s="30"/>
      <c r="AE19" s="30"/>
      <c r="AF19" s="30"/>
      <c r="AG19" s="1"/>
    </row>
    <row r="20">
      <c r="A20" s="1"/>
      <c r="B20" s="65"/>
      <c r="C20" s="66"/>
      <c r="D20" s="15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30"/>
      <c r="AD20" s="30"/>
      <c r="AE20" s="30"/>
      <c r="AF20" s="30"/>
      <c r="AG20" s="1"/>
    </row>
    <row r="21">
      <c r="A21" s="1"/>
      <c r="B21" s="67" t="s">
        <v>24</v>
      </c>
      <c r="C21" s="4"/>
      <c r="D21" s="5"/>
      <c r="E21" s="1"/>
      <c r="F21" s="68" t="s">
        <v>25</v>
      </c>
      <c r="G21" s="4"/>
      <c r="H21" s="4"/>
      <c r="I21" s="4"/>
      <c r="J21" s="4"/>
      <c r="K21" s="69"/>
      <c r="L21" s="1"/>
      <c r="M21" s="70" t="s">
        <v>26</v>
      </c>
      <c r="N21" s="4"/>
      <c r="O21" s="4"/>
      <c r="P21" s="5"/>
      <c r="Q21" s="1"/>
      <c r="R21" s="71" t="s">
        <v>22</v>
      </c>
      <c r="S21" s="4"/>
      <c r="T21" s="4"/>
      <c r="U21" s="4"/>
      <c r="V21" s="5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>
      <c r="A22" s="1"/>
      <c r="B22" s="12"/>
      <c r="D22" s="13"/>
      <c r="E22" s="1"/>
      <c r="F22" s="25"/>
      <c r="G22" s="26"/>
      <c r="H22" s="26"/>
      <c r="I22" s="26"/>
      <c r="J22" s="26"/>
      <c r="K22" s="72"/>
      <c r="L22" s="1"/>
      <c r="M22" s="12"/>
      <c r="P22" s="13"/>
      <c r="Q22" s="1"/>
      <c r="R22" s="12"/>
      <c r="V22" s="13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>
      <c r="A23" s="1"/>
      <c r="B23" s="73"/>
      <c r="C23" s="74" t="s">
        <v>27</v>
      </c>
      <c r="D23" s="75" t="s">
        <v>16</v>
      </c>
      <c r="E23" s="1"/>
      <c r="F23" s="76"/>
      <c r="G23" s="77"/>
      <c r="H23" s="77" t="s">
        <v>28</v>
      </c>
      <c r="I23" s="77" t="s">
        <v>15</v>
      </c>
      <c r="J23" s="77" t="s">
        <v>16</v>
      </c>
      <c r="K23" s="78" t="s">
        <v>23</v>
      </c>
      <c r="L23" s="1"/>
      <c r="M23" s="79"/>
      <c r="N23" s="80" t="s">
        <v>15</v>
      </c>
      <c r="O23" s="80" t="s">
        <v>16</v>
      </c>
      <c r="P23" s="81" t="s">
        <v>23</v>
      </c>
      <c r="Q23" s="1"/>
      <c r="R23" s="82"/>
      <c r="S23" s="83"/>
      <c r="T23" s="83" t="s">
        <v>28</v>
      </c>
      <c r="U23" s="83" t="s">
        <v>15</v>
      </c>
      <c r="V23" s="84" t="s">
        <v>16</v>
      </c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>
      <c r="A24" s="1"/>
      <c r="B24" s="44" t="s">
        <v>29</v>
      </c>
      <c r="C24" s="85"/>
      <c r="D24" s="86"/>
      <c r="E24" s="1"/>
      <c r="F24" s="44" t="b">
        <v>0</v>
      </c>
      <c r="G24" s="187"/>
      <c r="H24" s="88"/>
      <c r="I24" s="85"/>
      <c r="J24" s="85"/>
      <c r="K24" s="89" t="str">
        <f t="shared" ref="K24:K36" si="5">if(I24="",J24,(if(J24="","",I24-J24)))</f>
        <v/>
      </c>
      <c r="L24" s="1"/>
      <c r="M24" s="44"/>
      <c r="N24" s="85"/>
      <c r="O24" s="85"/>
      <c r="P24" s="46" t="str">
        <f t="shared" ref="P24:P62" si="6">if(N24="",O24,(if(O24="","",N24-O24)))</f>
        <v/>
      </c>
      <c r="Q24" s="1"/>
      <c r="R24" s="44" t="b">
        <v>0</v>
      </c>
      <c r="S24" s="90"/>
      <c r="T24" s="88"/>
      <c r="U24" s="85"/>
      <c r="V24" s="86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>
      <c r="A25" s="1"/>
      <c r="B25" s="15" t="s">
        <v>33</v>
      </c>
      <c r="C25" s="91"/>
      <c r="D25" s="92"/>
      <c r="E25" s="1"/>
      <c r="F25" s="15" t="b">
        <v>0</v>
      </c>
      <c r="G25" s="93"/>
      <c r="H25" s="94"/>
      <c r="I25" s="91"/>
      <c r="J25" s="91"/>
      <c r="K25" s="89" t="str">
        <f t="shared" si="5"/>
        <v/>
      </c>
      <c r="L25" s="1"/>
      <c r="M25" s="15"/>
      <c r="N25" s="91"/>
      <c r="O25" s="91"/>
      <c r="P25" s="46" t="str">
        <f t="shared" si="6"/>
        <v/>
      </c>
      <c r="Q25" s="1"/>
      <c r="R25" s="15" t="b">
        <v>0</v>
      </c>
      <c r="S25" s="21"/>
      <c r="T25" s="94"/>
      <c r="U25" s="91"/>
      <c r="V25" s="92"/>
      <c r="W25" s="1"/>
      <c r="X25" s="1"/>
      <c r="Z25" s="1"/>
      <c r="AA25" s="1"/>
      <c r="AB25" s="1"/>
      <c r="AC25" s="1"/>
      <c r="AD25" s="1"/>
      <c r="AE25" s="1"/>
      <c r="AF25" s="1"/>
      <c r="AG25" s="1"/>
    </row>
    <row r="26">
      <c r="A26" s="1"/>
      <c r="B26" s="15" t="s">
        <v>37</v>
      </c>
      <c r="C26" s="91"/>
      <c r="D26" s="92"/>
      <c r="E26" s="1"/>
      <c r="F26" s="15" t="b">
        <v>0</v>
      </c>
      <c r="G26" s="93"/>
      <c r="H26" s="94"/>
      <c r="I26" s="91"/>
      <c r="J26" s="91"/>
      <c r="K26" s="89" t="str">
        <f t="shared" si="5"/>
        <v/>
      </c>
      <c r="L26" s="1"/>
      <c r="M26" s="15"/>
      <c r="N26" s="91"/>
      <c r="O26" s="91"/>
      <c r="P26" s="46" t="str">
        <f t="shared" si="6"/>
        <v/>
      </c>
      <c r="Q26" s="1"/>
      <c r="R26" s="15" t="b">
        <v>0</v>
      </c>
      <c r="S26" s="21"/>
      <c r="T26" s="94"/>
      <c r="U26" s="91"/>
      <c r="V26" s="92"/>
      <c r="W26" s="1"/>
      <c r="X26" s="1"/>
      <c r="Z26" s="1"/>
      <c r="AA26" s="1"/>
      <c r="AB26" s="1"/>
      <c r="AC26" s="1"/>
      <c r="AD26" s="1"/>
      <c r="AE26" s="1"/>
      <c r="AF26" s="1"/>
      <c r="AG26" s="1"/>
    </row>
    <row r="27">
      <c r="A27" s="1"/>
      <c r="B27" s="15" t="s">
        <v>41</v>
      </c>
      <c r="C27" s="91"/>
      <c r="D27" s="92"/>
      <c r="E27" s="1"/>
      <c r="F27" s="15" t="b">
        <v>0</v>
      </c>
      <c r="G27" s="93"/>
      <c r="H27" s="94"/>
      <c r="I27" s="91"/>
      <c r="J27" s="95"/>
      <c r="K27" s="89" t="str">
        <f t="shared" si="5"/>
        <v/>
      </c>
      <c r="L27" s="1"/>
      <c r="M27" s="15"/>
      <c r="N27" s="91"/>
      <c r="O27" s="91"/>
      <c r="P27" s="46" t="str">
        <f t="shared" si="6"/>
        <v/>
      </c>
      <c r="Q27" s="1"/>
      <c r="R27" s="15" t="b">
        <v>0</v>
      </c>
      <c r="S27" s="21"/>
      <c r="T27" s="94"/>
      <c r="U27" s="91"/>
      <c r="V27" s="92"/>
      <c r="W27" s="1"/>
      <c r="X27" s="1"/>
      <c r="Z27" s="1"/>
      <c r="AA27" s="1"/>
      <c r="AB27" s="1"/>
      <c r="AC27" s="1"/>
      <c r="AD27" s="1"/>
      <c r="AE27" s="1"/>
      <c r="AF27" s="1"/>
      <c r="AG27" s="1"/>
    </row>
    <row r="28">
      <c r="A28" s="1"/>
      <c r="B28" s="53" t="s">
        <v>45</v>
      </c>
      <c r="C28" s="96"/>
      <c r="D28" s="97"/>
      <c r="E28" s="1"/>
      <c r="F28" s="15" t="b">
        <v>0</v>
      </c>
      <c r="G28" s="93"/>
      <c r="H28" s="94"/>
      <c r="I28" s="91"/>
      <c r="J28" s="91"/>
      <c r="K28" s="89" t="str">
        <f t="shared" si="5"/>
        <v/>
      </c>
      <c r="L28" s="1"/>
      <c r="M28" s="15"/>
      <c r="N28" s="91"/>
      <c r="O28" s="91"/>
      <c r="P28" s="46" t="str">
        <f t="shared" si="6"/>
        <v/>
      </c>
      <c r="Q28" s="1"/>
      <c r="R28" s="98" t="b">
        <v>0</v>
      </c>
      <c r="S28" s="90"/>
      <c r="T28" s="94"/>
      <c r="U28" s="99"/>
      <c r="V28" s="92"/>
      <c r="W28" s="1"/>
      <c r="X28" s="1"/>
      <c r="Z28" s="1"/>
      <c r="AA28" s="1"/>
      <c r="AB28" s="1"/>
      <c r="AC28" s="1"/>
      <c r="AD28" s="1"/>
      <c r="AE28" s="1"/>
      <c r="AF28" s="1"/>
      <c r="AG28" s="1"/>
    </row>
    <row r="29">
      <c r="A29" s="1"/>
      <c r="B29" s="100" t="s">
        <v>48</v>
      </c>
      <c r="C29" s="101">
        <f t="shared" ref="C29:D29" si="7">sum(C24:C28)</f>
        <v>0</v>
      </c>
      <c r="D29" s="102">
        <f t="shared" si="7"/>
        <v>0</v>
      </c>
      <c r="E29" s="1"/>
      <c r="F29" s="15" t="b">
        <v>0</v>
      </c>
      <c r="G29" s="93"/>
      <c r="H29" s="94"/>
      <c r="I29" s="91"/>
      <c r="J29" s="91"/>
      <c r="K29" s="89" t="str">
        <f t="shared" si="5"/>
        <v/>
      </c>
      <c r="L29" s="1"/>
      <c r="M29" s="15"/>
      <c r="N29" s="91"/>
      <c r="O29" s="91"/>
      <c r="P29" s="46" t="str">
        <f t="shared" si="6"/>
        <v/>
      </c>
      <c r="Q29" s="1"/>
      <c r="R29" s="98" t="b">
        <v>0</v>
      </c>
      <c r="S29" s="90"/>
      <c r="T29" s="103"/>
      <c r="U29" s="99"/>
      <c r="V29" s="104"/>
      <c r="W29" s="1"/>
      <c r="X29" s="1"/>
      <c r="Y29" s="1"/>
      <c r="Z29" s="1"/>
      <c r="AA29" s="105"/>
      <c r="AB29" s="1"/>
      <c r="AC29" s="1"/>
      <c r="AD29" s="1"/>
      <c r="AE29" s="1"/>
      <c r="AF29" s="1"/>
      <c r="AG29" s="1"/>
    </row>
    <row r="30">
      <c r="A30" s="1"/>
      <c r="B30" s="1"/>
      <c r="C30" s="1"/>
      <c r="D30" s="1"/>
      <c r="E30" s="1"/>
      <c r="F30" s="15" t="b">
        <v>0</v>
      </c>
      <c r="G30" s="93"/>
      <c r="H30" s="94"/>
      <c r="I30" s="91"/>
      <c r="J30" s="91"/>
      <c r="K30" s="89" t="str">
        <f t="shared" si="5"/>
        <v/>
      </c>
      <c r="L30" s="1"/>
      <c r="M30" s="15"/>
      <c r="N30" s="91"/>
      <c r="O30" s="91"/>
      <c r="P30" s="46" t="str">
        <f t="shared" si="6"/>
        <v/>
      </c>
      <c r="Q30" s="1"/>
      <c r="R30" s="98" t="b">
        <v>0</v>
      </c>
      <c r="S30" s="90"/>
      <c r="T30" s="103"/>
      <c r="U30" s="99"/>
      <c r="V30" s="104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>
      <c r="A31" s="1"/>
      <c r="B31" s="106" t="s">
        <v>53</v>
      </c>
      <c r="C31" s="4"/>
      <c r="D31" s="5"/>
      <c r="E31" s="1"/>
      <c r="F31" s="15" t="b">
        <v>0</v>
      </c>
      <c r="G31" s="93"/>
      <c r="H31" s="94"/>
      <c r="I31" s="91"/>
      <c r="J31" s="91"/>
      <c r="K31" s="89" t="str">
        <f t="shared" si="5"/>
        <v/>
      </c>
      <c r="L31" s="1"/>
      <c r="M31" s="15"/>
      <c r="N31" s="91"/>
      <c r="O31" s="91"/>
      <c r="P31" s="46" t="str">
        <f t="shared" si="6"/>
        <v/>
      </c>
      <c r="Q31" s="1"/>
      <c r="R31" s="98" t="b">
        <v>0</v>
      </c>
      <c r="S31" s="90"/>
      <c r="T31" s="103"/>
      <c r="U31" s="99"/>
      <c r="V31" s="104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>
      <c r="A32" s="1"/>
      <c r="B32" s="12"/>
      <c r="D32" s="13"/>
      <c r="E32" s="1"/>
      <c r="F32" s="15" t="b">
        <v>0</v>
      </c>
      <c r="G32" s="93"/>
      <c r="H32" s="94"/>
      <c r="I32" s="91"/>
      <c r="J32" s="91"/>
      <c r="K32" s="89" t="str">
        <f t="shared" si="5"/>
        <v/>
      </c>
      <c r="L32" s="1"/>
      <c r="M32" s="15"/>
      <c r="N32" s="107"/>
      <c r="O32" s="91"/>
      <c r="P32" s="46" t="str">
        <f t="shared" si="6"/>
        <v/>
      </c>
      <c r="Q32" s="1"/>
      <c r="R32" s="98" t="b">
        <v>0</v>
      </c>
      <c r="S32" s="90"/>
      <c r="T32" s="103"/>
      <c r="U32" s="99"/>
      <c r="V32" s="104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>
      <c r="A33" s="1"/>
      <c r="B33" s="108"/>
      <c r="C33" s="109" t="s">
        <v>27</v>
      </c>
      <c r="D33" s="110" t="s">
        <v>16</v>
      </c>
      <c r="E33" s="1"/>
      <c r="F33" s="15" t="b">
        <v>0</v>
      </c>
      <c r="G33" s="93"/>
      <c r="H33" s="94"/>
      <c r="I33" s="91"/>
      <c r="J33" s="91"/>
      <c r="K33" s="89" t="str">
        <f t="shared" si="5"/>
        <v/>
      </c>
      <c r="L33" s="1"/>
      <c r="M33" s="15"/>
      <c r="N33" s="91"/>
      <c r="O33" s="91"/>
      <c r="P33" s="46" t="str">
        <f t="shared" si="6"/>
        <v/>
      </c>
      <c r="Q33" s="1"/>
      <c r="R33" s="98" t="b">
        <v>0</v>
      </c>
      <c r="S33" s="90"/>
      <c r="T33" s="103"/>
      <c r="U33" s="99"/>
      <c r="V33" s="104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>
      <c r="A34" s="1"/>
      <c r="B34" s="15" t="s">
        <v>59</v>
      </c>
      <c r="C34" s="91"/>
      <c r="D34" s="92"/>
      <c r="E34" s="1"/>
      <c r="F34" s="15" t="b">
        <v>0</v>
      </c>
      <c r="G34" s="111"/>
      <c r="H34" s="94"/>
      <c r="I34" s="91"/>
      <c r="J34" s="91"/>
      <c r="K34" s="89" t="str">
        <f t="shared" si="5"/>
        <v/>
      </c>
      <c r="L34" s="1"/>
      <c r="M34" s="15"/>
      <c r="N34" s="91"/>
      <c r="O34" s="91"/>
      <c r="P34" s="46" t="str">
        <f t="shared" si="6"/>
        <v/>
      </c>
      <c r="Q34" s="1"/>
      <c r="R34" s="98" t="b">
        <v>0</v>
      </c>
      <c r="S34" s="90"/>
      <c r="T34" s="103"/>
      <c r="U34" s="99"/>
      <c r="V34" s="104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>
      <c r="A35" s="1"/>
      <c r="B35" s="15" t="s">
        <v>62</v>
      </c>
      <c r="C35" s="91"/>
      <c r="D35" s="92"/>
      <c r="E35" s="1"/>
      <c r="F35" s="15" t="b">
        <v>0</v>
      </c>
      <c r="G35" s="93"/>
      <c r="H35" s="94"/>
      <c r="I35" s="91"/>
      <c r="J35" s="91"/>
      <c r="K35" s="89" t="str">
        <f t="shared" si="5"/>
        <v/>
      </c>
      <c r="L35" s="1"/>
      <c r="M35" s="15"/>
      <c r="N35" s="91"/>
      <c r="O35" s="91"/>
      <c r="P35" s="46" t="str">
        <f t="shared" si="6"/>
        <v/>
      </c>
      <c r="Q35" s="1"/>
      <c r="R35" s="98" t="b">
        <v>0</v>
      </c>
      <c r="S35" s="90"/>
      <c r="T35" s="103"/>
      <c r="U35" s="99"/>
      <c r="V35" s="104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>
      <c r="A36" s="1"/>
      <c r="B36" s="15" t="s">
        <v>64</v>
      </c>
      <c r="C36" s="91"/>
      <c r="D36" s="92"/>
      <c r="E36" s="1"/>
      <c r="F36" s="15" t="b">
        <v>0</v>
      </c>
      <c r="G36" s="93"/>
      <c r="H36" s="94"/>
      <c r="I36" s="91"/>
      <c r="J36" s="91"/>
      <c r="K36" s="89" t="str">
        <f t="shared" si="5"/>
        <v/>
      </c>
      <c r="L36" s="1"/>
      <c r="M36" s="15"/>
      <c r="N36" s="91"/>
      <c r="O36" s="91"/>
      <c r="P36" s="46" t="str">
        <f t="shared" si="6"/>
        <v/>
      </c>
      <c r="Q36" s="1"/>
      <c r="R36" s="98" t="b">
        <v>0</v>
      </c>
      <c r="S36" s="90"/>
      <c r="T36" s="103"/>
      <c r="U36" s="99"/>
      <c r="V36" s="104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>
      <c r="A37" s="1"/>
      <c r="B37" s="15" t="s">
        <v>66</v>
      </c>
      <c r="C37" s="91"/>
      <c r="D37" s="92"/>
      <c r="E37" s="1"/>
      <c r="F37" s="98" t="b">
        <v>0</v>
      </c>
      <c r="G37" s="112"/>
      <c r="H37" s="103"/>
      <c r="I37" s="91"/>
      <c r="J37" s="91"/>
      <c r="K37" s="89"/>
      <c r="L37" s="1"/>
      <c r="M37" s="98"/>
      <c r="N37" s="99"/>
      <c r="O37" s="99"/>
      <c r="P37" s="46" t="str">
        <f t="shared" si="6"/>
        <v/>
      </c>
      <c r="Q37" s="1"/>
      <c r="R37" s="98" t="b">
        <v>0</v>
      </c>
      <c r="S37" s="90"/>
      <c r="T37" s="103"/>
      <c r="U37" s="99"/>
      <c r="V37" s="104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>
      <c r="A38" s="1"/>
      <c r="B38" s="15" t="s">
        <v>67</v>
      </c>
      <c r="C38" s="91"/>
      <c r="D38" s="92"/>
      <c r="E38" s="1"/>
      <c r="F38" s="98" t="b">
        <v>0</v>
      </c>
      <c r="G38" s="112"/>
      <c r="H38" s="103"/>
      <c r="I38" s="99"/>
      <c r="J38" s="91"/>
      <c r="K38" s="89" t="str">
        <f t="shared" ref="K38:K62" si="8">if(I38="",J38,(if(J38="","",I38-J38)))</f>
        <v/>
      </c>
      <c r="L38" s="1"/>
      <c r="M38" s="98"/>
      <c r="N38" s="91"/>
      <c r="O38" s="91"/>
      <c r="P38" s="46" t="str">
        <f t="shared" si="6"/>
        <v/>
      </c>
      <c r="Q38" s="1"/>
      <c r="R38" s="98" t="b">
        <v>0</v>
      </c>
      <c r="S38" s="90"/>
      <c r="T38" s="103"/>
      <c r="U38" s="99"/>
      <c r="V38" s="104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>
      <c r="A39" s="1"/>
      <c r="B39" s="113" t="s">
        <v>48</v>
      </c>
      <c r="C39" s="114">
        <f>SUM(C34:C38)</f>
        <v>0</v>
      </c>
      <c r="D39" s="115">
        <f>sum(D34:D38)</f>
        <v>0</v>
      </c>
      <c r="E39" s="1"/>
      <c r="F39" s="98" t="b">
        <v>0</v>
      </c>
      <c r="G39" s="112"/>
      <c r="H39" s="103"/>
      <c r="I39" s="99"/>
      <c r="J39" s="91"/>
      <c r="K39" s="89" t="str">
        <f t="shared" si="8"/>
        <v/>
      </c>
      <c r="L39" s="1"/>
      <c r="M39" s="98"/>
      <c r="N39" s="91"/>
      <c r="O39" s="91"/>
      <c r="P39" s="46" t="str">
        <f t="shared" si="6"/>
        <v/>
      </c>
      <c r="Q39" s="1"/>
      <c r="R39" s="98" t="b">
        <v>0</v>
      </c>
      <c r="S39" s="90"/>
      <c r="T39" s="103"/>
      <c r="U39" s="99"/>
      <c r="V39" s="104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>
      <c r="A40" s="1"/>
      <c r="B40" s="116"/>
      <c r="C40" s="116"/>
      <c r="D40" s="116"/>
      <c r="E40" s="1"/>
      <c r="F40" s="98" t="b">
        <v>0</v>
      </c>
      <c r="G40" s="112"/>
      <c r="H40" s="103"/>
      <c r="I40" s="99"/>
      <c r="J40" s="91"/>
      <c r="K40" s="89" t="str">
        <f t="shared" si="8"/>
        <v/>
      </c>
      <c r="L40" s="1"/>
      <c r="M40" s="98"/>
      <c r="N40" s="99"/>
      <c r="O40" s="99"/>
      <c r="P40" s="46" t="str">
        <f t="shared" si="6"/>
        <v/>
      </c>
      <c r="Q40" s="1"/>
      <c r="R40" s="98" t="b">
        <v>0</v>
      </c>
      <c r="S40" s="90"/>
      <c r="T40" s="103"/>
      <c r="U40" s="99"/>
      <c r="V40" s="104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>
      <c r="A41" s="1"/>
      <c r="B41" s="117" t="s">
        <v>68</v>
      </c>
      <c r="C41" s="4"/>
      <c r="D41" s="5"/>
      <c r="E41" s="1"/>
      <c r="F41" s="98" t="b">
        <v>0</v>
      </c>
      <c r="G41" s="112"/>
      <c r="H41" s="103"/>
      <c r="I41" s="99"/>
      <c r="J41" s="91"/>
      <c r="K41" s="89" t="str">
        <f t="shared" si="8"/>
        <v/>
      </c>
      <c r="L41" s="1"/>
      <c r="M41" s="98"/>
      <c r="N41" s="99"/>
      <c r="O41" s="99"/>
      <c r="P41" s="46" t="str">
        <f t="shared" si="6"/>
        <v/>
      </c>
      <c r="Q41" s="1"/>
      <c r="R41" s="98" t="b">
        <v>0</v>
      </c>
      <c r="S41" s="90"/>
      <c r="T41" s="103"/>
      <c r="U41" s="99"/>
      <c r="V41" s="104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>
      <c r="A42" s="1"/>
      <c r="B42" s="12"/>
      <c r="D42" s="13"/>
      <c r="E42" s="1"/>
      <c r="F42" s="98" t="b">
        <v>0</v>
      </c>
      <c r="G42" s="112"/>
      <c r="H42" s="103"/>
      <c r="I42" s="99"/>
      <c r="J42" s="99"/>
      <c r="K42" s="89" t="str">
        <f t="shared" si="8"/>
        <v/>
      </c>
      <c r="L42" s="1"/>
      <c r="M42" s="98"/>
      <c r="N42" s="91"/>
      <c r="O42" s="91"/>
      <c r="P42" s="46" t="str">
        <f t="shared" si="6"/>
        <v/>
      </c>
      <c r="Q42" s="1"/>
      <c r="R42" s="98" t="b">
        <v>0</v>
      </c>
      <c r="S42" s="90"/>
      <c r="T42" s="103"/>
      <c r="U42" s="99"/>
      <c r="V42" s="104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>
      <c r="A43" s="1"/>
      <c r="B43" s="118"/>
      <c r="C43" s="119" t="s">
        <v>15</v>
      </c>
      <c r="D43" s="120" t="s">
        <v>16</v>
      </c>
      <c r="E43" s="1"/>
      <c r="F43" s="98" t="b">
        <v>0</v>
      </c>
      <c r="G43" s="112"/>
      <c r="H43" s="103"/>
      <c r="I43" s="99"/>
      <c r="J43" s="91"/>
      <c r="K43" s="89" t="str">
        <f t="shared" si="8"/>
        <v/>
      </c>
      <c r="L43" s="1"/>
      <c r="M43" s="98"/>
      <c r="N43" s="91"/>
      <c r="O43" s="91"/>
      <c r="P43" s="46" t="str">
        <f t="shared" si="6"/>
        <v/>
      </c>
      <c r="Q43" s="1"/>
      <c r="R43" s="98" t="b">
        <v>0</v>
      </c>
      <c r="S43" s="90"/>
      <c r="T43" s="103"/>
      <c r="U43" s="99"/>
      <c r="V43" s="104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>
      <c r="A44" s="1"/>
      <c r="B44" s="44" t="s">
        <v>57</v>
      </c>
      <c r="C44" s="85"/>
      <c r="D44" s="86"/>
      <c r="E44" s="1"/>
      <c r="F44" s="98" t="b">
        <v>0</v>
      </c>
      <c r="G44" s="112"/>
      <c r="H44" s="103"/>
      <c r="I44" s="99"/>
      <c r="J44" s="91"/>
      <c r="K44" s="89" t="str">
        <f t="shared" si="8"/>
        <v/>
      </c>
      <c r="L44" s="1"/>
      <c r="M44" s="98"/>
      <c r="N44" s="99"/>
      <c r="O44" s="91"/>
      <c r="P44" s="46" t="str">
        <f t="shared" si="6"/>
        <v/>
      </c>
      <c r="Q44" s="1"/>
      <c r="R44" s="98" t="b">
        <v>0</v>
      </c>
      <c r="S44" s="90"/>
      <c r="T44" s="103"/>
      <c r="U44" s="99"/>
      <c r="V44" s="104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>
      <c r="A45" s="1"/>
      <c r="B45" s="15" t="s">
        <v>69</v>
      </c>
      <c r="C45" s="91"/>
      <c r="D45" s="92"/>
      <c r="E45" s="1"/>
      <c r="F45" s="98" t="b">
        <v>0</v>
      </c>
      <c r="G45" s="112"/>
      <c r="H45" s="103"/>
      <c r="I45" s="99"/>
      <c r="J45" s="99"/>
      <c r="K45" s="89" t="str">
        <f t="shared" si="8"/>
        <v/>
      </c>
      <c r="L45" s="1"/>
      <c r="M45" s="98"/>
      <c r="N45" s="99"/>
      <c r="O45" s="91"/>
      <c r="P45" s="46" t="str">
        <f t="shared" si="6"/>
        <v/>
      </c>
      <c r="Q45" s="1"/>
      <c r="R45" s="98" t="b">
        <v>0</v>
      </c>
      <c r="S45" s="90"/>
      <c r="T45" s="103"/>
      <c r="U45" s="99"/>
      <c r="V45" s="104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>
      <c r="A46" s="1"/>
      <c r="B46" s="15" t="s">
        <v>70</v>
      </c>
      <c r="C46" s="91"/>
      <c r="D46" s="92"/>
      <c r="E46" s="1"/>
      <c r="F46" s="98" t="b">
        <v>0</v>
      </c>
      <c r="G46" s="112"/>
      <c r="H46" s="103"/>
      <c r="I46" s="91"/>
      <c r="J46" s="91"/>
      <c r="K46" s="89" t="str">
        <f t="shared" si="8"/>
        <v/>
      </c>
      <c r="L46" s="1"/>
      <c r="M46" s="98"/>
      <c r="N46" s="99"/>
      <c r="O46" s="91"/>
      <c r="P46" s="46" t="str">
        <f t="shared" si="6"/>
        <v/>
      </c>
      <c r="Q46" s="1"/>
      <c r="R46" s="98" t="b">
        <v>0</v>
      </c>
      <c r="S46" s="90"/>
      <c r="T46" s="103"/>
      <c r="U46" s="99"/>
      <c r="V46" s="10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>
      <c r="A47" s="1"/>
      <c r="B47" s="15" t="s">
        <v>71</v>
      </c>
      <c r="C47" s="91"/>
      <c r="D47" s="92"/>
      <c r="E47" s="1"/>
      <c r="F47" s="15" t="b">
        <v>0</v>
      </c>
      <c r="G47" s="112"/>
      <c r="H47" s="103"/>
      <c r="I47" s="91"/>
      <c r="J47" s="91"/>
      <c r="K47" s="89" t="str">
        <f t="shared" si="8"/>
        <v/>
      </c>
      <c r="L47" s="1"/>
      <c r="M47" s="98"/>
      <c r="N47" s="99"/>
      <c r="O47" s="99"/>
      <c r="P47" s="46" t="str">
        <f t="shared" si="6"/>
        <v/>
      </c>
      <c r="Q47" s="1"/>
      <c r="R47" s="98" t="b">
        <v>0</v>
      </c>
      <c r="S47" s="90"/>
      <c r="T47" s="103"/>
      <c r="U47" s="99"/>
      <c r="V47" s="104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>
      <c r="A48" s="1"/>
      <c r="B48" s="15" t="s">
        <v>72</v>
      </c>
      <c r="C48" s="91"/>
      <c r="D48" s="92"/>
      <c r="E48" s="1"/>
      <c r="F48" s="15" t="b">
        <v>0</v>
      </c>
      <c r="G48" s="112"/>
      <c r="H48" s="103"/>
      <c r="I48" s="91"/>
      <c r="J48" s="91"/>
      <c r="K48" s="89" t="str">
        <f t="shared" si="8"/>
        <v/>
      </c>
      <c r="L48" s="1"/>
      <c r="M48" s="98"/>
      <c r="N48" s="99"/>
      <c r="O48" s="99"/>
      <c r="P48" s="46" t="str">
        <f t="shared" si="6"/>
        <v/>
      </c>
      <c r="Q48" s="1"/>
      <c r="R48" s="121" t="b">
        <v>0</v>
      </c>
      <c r="S48" s="122"/>
      <c r="T48" s="123"/>
      <c r="U48" s="124"/>
      <c r="V48" s="125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>
      <c r="A49" s="1"/>
      <c r="B49" s="15"/>
      <c r="C49" s="91"/>
      <c r="D49" s="92"/>
      <c r="E49" s="1"/>
      <c r="F49" s="15" t="b">
        <v>0</v>
      </c>
      <c r="G49" s="112"/>
      <c r="H49" s="103"/>
      <c r="I49" s="91"/>
      <c r="J49" s="91"/>
      <c r="K49" s="89" t="str">
        <f t="shared" si="8"/>
        <v/>
      </c>
      <c r="L49" s="1"/>
      <c r="M49" s="98"/>
      <c r="N49" s="99"/>
      <c r="O49" s="99"/>
      <c r="P49" s="46" t="str">
        <f t="shared" si="6"/>
        <v/>
      </c>
      <c r="Q49" s="1"/>
      <c r="R49" s="126"/>
      <c r="S49" s="127" t="s">
        <v>48</v>
      </c>
      <c r="T49" s="127"/>
      <c r="U49" s="128">
        <f>sum(U24:U48)</f>
        <v>0</v>
      </c>
      <c r="V49" s="129">
        <f>SUM(V24:V48)</f>
        <v>0</v>
      </c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>
      <c r="A50" s="1"/>
      <c r="B50" s="15"/>
      <c r="C50" s="91"/>
      <c r="D50" s="92"/>
      <c r="E50" s="1"/>
      <c r="F50" s="15" t="b">
        <v>0</v>
      </c>
      <c r="G50" s="112"/>
      <c r="H50" s="103"/>
      <c r="I50" s="91"/>
      <c r="J50" s="91"/>
      <c r="K50" s="89" t="str">
        <f t="shared" si="8"/>
        <v/>
      </c>
      <c r="M50" s="98"/>
      <c r="N50" s="99"/>
      <c r="O50" s="99"/>
      <c r="P50" s="46" t="str">
        <f t="shared" si="6"/>
        <v/>
      </c>
      <c r="R50" s="33"/>
      <c r="S50" s="33"/>
      <c r="T50" s="33"/>
      <c r="U50" s="33"/>
      <c r="V50" s="33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>
      <c r="A51" s="1"/>
      <c r="B51" s="15"/>
      <c r="C51" s="91"/>
      <c r="D51" s="92"/>
      <c r="E51" s="1"/>
      <c r="F51" s="15" t="b">
        <v>0</v>
      </c>
      <c r="G51" s="112"/>
      <c r="H51" s="103"/>
      <c r="I51" s="91"/>
      <c r="J51" s="91"/>
      <c r="K51" s="89" t="str">
        <f t="shared" si="8"/>
        <v/>
      </c>
      <c r="M51" s="98"/>
      <c r="N51" s="99"/>
      <c r="O51" s="99"/>
      <c r="P51" s="46" t="str">
        <f t="shared" si="6"/>
        <v/>
      </c>
      <c r="R51" s="130" t="s">
        <v>73</v>
      </c>
      <c r="S51" s="4"/>
      <c r="T51" s="4"/>
      <c r="U51" s="4"/>
      <c r="V51" s="5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>
      <c r="A52" s="1"/>
      <c r="B52" s="15"/>
      <c r="C52" s="91"/>
      <c r="D52" s="92"/>
      <c r="E52" s="1"/>
      <c r="F52" s="15" t="b">
        <v>0</v>
      </c>
      <c r="G52" s="112"/>
      <c r="H52" s="103"/>
      <c r="I52" s="91"/>
      <c r="J52" s="91"/>
      <c r="K52" s="89" t="str">
        <f t="shared" si="8"/>
        <v/>
      </c>
      <c r="M52" s="98"/>
      <c r="N52" s="99"/>
      <c r="O52" s="99"/>
      <c r="P52" s="46" t="str">
        <f t="shared" si="6"/>
        <v/>
      </c>
      <c r="R52" s="12"/>
      <c r="V52" s="13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>
      <c r="A53" s="1"/>
      <c r="B53" s="15"/>
      <c r="C53" s="91"/>
      <c r="D53" s="92"/>
      <c r="E53" s="1"/>
      <c r="F53" s="15" t="b">
        <v>0</v>
      </c>
      <c r="G53" s="112"/>
      <c r="H53" s="103"/>
      <c r="I53" s="91"/>
      <c r="J53" s="91"/>
      <c r="K53" s="89" t="str">
        <f t="shared" si="8"/>
        <v/>
      </c>
      <c r="M53" s="98"/>
      <c r="N53" s="99"/>
      <c r="O53" s="99"/>
      <c r="P53" s="46" t="str">
        <f t="shared" si="6"/>
        <v/>
      </c>
      <c r="R53" s="131"/>
      <c r="S53" s="10"/>
      <c r="T53" s="10"/>
      <c r="U53" s="10"/>
      <c r="V53" s="1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>
      <c r="A54" s="1"/>
      <c r="B54" s="15"/>
      <c r="C54" s="91"/>
      <c r="D54" s="92"/>
      <c r="E54" s="1"/>
      <c r="F54" s="15" t="b">
        <v>0</v>
      </c>
      <c r="G54" s="112"/>
      <c r="H54" s="103"/>
      <c r="I54" s="91"/>
      <c r="J54" s="91"/>
      <c r="K54" s="89" t="str">
        <f t="shared" si="8"/>
        <v/>
      </c>
      <c r="M54" s="98"/>
      <c r="N54" s="99"/>
      <c r="O54" s="99"/>
      <c r="P54" s="46" t="str">
        <f t="shared" si="6"/>
        <v/>
      </c>
      <c r="R54" s="132"/>
      <c r="S54" s="133"/>
      <c r="T54" s="133"/>
      <c r="U54" s="133"/>
      <c r="V54" s="17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>
      <c r="A55" s="1"/>
      <c r="B55" s="15"/>
      <c r="C55" s="91"/>
      <c r="D55" s="92"/>
      <c r="E55" s="1"/>
      <c r="F55" s="15" t="b">
        <v>0</v>
      </c>
      <c r="G55" s="112"/>
      <c r="H55" s="103"/>
      <c r="I55" s="91"/>
      <c r="J55" s="91"/>
      <c r="K55" s="89" t="str">
        <f t="shared" si="8"/>
        <v/>
      </c>
      <c r="M55" s="98"/>
      <c r="N55" s="99"/>
      <c r="O55" s="99"/>
      <c r="P55" s="46" t="str">
        <f t="shared" si="6"/>
        <v/>
      </c>
      <c r="R55" s="132"/>
      <c r="S55" s="133"/>
      <c r="T55" s="133"/>
      <c r="U55" s="133"/>
      <c r="V55" s="17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>
      <c r="A56" s="1"/>
      <c r="B56" s="15"/>
      <c r="C56" s="91"/>
      <c r="D56" s="92"/>
      <c r="E56" s="1"/>
      <c r="F56" s="15" t="b">
        <v>0</v>
      </c>
      <c r="G56" s="112"/>
      <c r="H56" s="103"/>
      <c r="I56" s="91"/>
      <c r="J56" s="91"/>
      <c r="K56" s="89" t="str">
        <f t="shared" si="8"/>
        <v/>
      </c>
      <c r="M56" s="98"/>
      <c r="N56" s="99"/>
      <c r="O56" s="99"/>
      <c r="P56" s="46" t="str">
        <f t="shared" si="6"/>
        <v/>
      </c>
      <c r="R56" s="134"/>
      <c r="S56" s="133"/>
      <c r="T56" s="133"/>
      <c r="U56" s="133"/>
      <c r="V56" s="17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>
      <c r="A57" s="1"/>
      <c r="B57" s="15"/>
      <c r="C57" s="91"/>
      <c r="D57" s="92"/>
      <c r="E57" s="1"/>
      <c r="F57" s="15" t="b">
        <v>0</v>
      </c>
      <c r="G57" s="112"/>
      <c r="H57" s="103"/>
      <c r="I57" s="91"/>
      <c r="J57" s="91"/>
      <c r="K57" s="89" t="str">
        <f t="shared" si="8"/>
        <v/>
      </c>
      <c r="M57" s="98"/>
      <c r="N57" s="99"/>
      <c r="O57" s="99"/>
      <c r="P57" s="46" t="str">
        <f t="shared" si="6"/>
        <v/>
      </c>
      <c r="R57" s="134"/>
      <c r="S57" s="133"/>
      <c r="T57" s="133"/>
      <c r="U57" s="133"/>
      <c r="V57" s="17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>
      <c r="A58" s="1"/>
      <c r="B58" s="15"/>
      <c r="C58" s="91"/>
      <c r="D58" s="92"/>
      <c r="E58" s="1"/>
      <c r="F58" s="15" t="b">
        <v>0</v>
      </c>
      <c r="G58" s="112"/>
      <c r="H58" s="103"/>
      <c r="I58" s="91"/>
      <c r="J58" s="91"/>
      <c r="K58" s="89" t="str">
        <f t="shared" si="8"/>
        <v/>
      </c>
      <c r="M58" s="98"/>
      <c r="N58" s="99"/>
      <c r="O58" s="99"/>
      <c r="P58" s="46" t="str">
        <f t="shared" si="6"/>
        <v/>
      </c>
      <c r="R58" s="134"/>
      <c r="S58" s="133"/>
      <c r="T58" s="133"/>
      <c r="U58" s="133"/>
      <c r="V58" s="17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>
      <c r="A59" s="1"/>
      <c r="B59" s="15"/>
      <c r="C59" s="91"/>
      <c r="D59" s="92"/>
      <c r="E59" s="1"/>
      <c r="F59" s="15" t="b">
        <v>0</v>
      </c>
      <c r="G59" s="112"/>
      <c r="H59" s="103"/>
      <c r="I59" s="91"/>
      <c r="J59" s="91"/>
      <c r="K59" s="89" t="str">
        <f t="shared" si="8"/>
        <v/>
      </c>
      <c r="M59" s="98"/>
      <c r="N59" s="99"/>
      <c r="O59" s="99"/>
      <c r="P59" s="46" t="str">
        <f t="shared" si="6"/>
        <v/>
      </c>
      <c r="R59" s="134"/>
      <c r="S59" s="133"/>
      <c r="T59" s="133"/>
      <c r="U59" s="133"/>
      <c r="V59" s="17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>
      <c r="A60" s="1"/>
      <c r="B60" s="15"/>
      <c r="C60" s="91"/>
      <c r="D60" s="92"/>
      <c r="E60" s="1"/>
      <c r="F60" s="15" t="b">
        <v>0</v>
      </c>
      <c r="G60" s="112"/>
      <c r="H60" s="103"/>
      <c r="I60" s="91"/>
      <c r="J60" s="91"/>
      <c r="K60" s="89" t="str">
        <f t="shared" si="8"/>
        <v/>
      </c>
      <c r="M60" s="98"/>
      <c r="N60" s="99"/>
      <c r="O60" s="99"/>
      <c r="P60" s="46" t="str">
        <f t="shared" si="6"/>
        <v/>
      </c>
      <c r="R60" s="134"/>
      <c r="S60" s="133"/>
      <c r="T60" s="133"/>
      <c r="U60" s="133"/>
      <c r="V60" s="17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>
      <c r="A61" s="1"/>
      <c r="B61" s="15"/>
      <c r="C61" s="91"/>
      <c r="D61" s="92"/>
      <c r="E61" s="1"/>
      <c r="F61" s="15" t="b">
        <v>0</v>
      </c>
      <c r="G61" s="112"/>
      <c r="H61" s="103"/>
      <c r="I61" s="91"/>
      <c r="J61" s="91"/>
      <c r="K61" s="89" t="str">
        <f t="shared" si="8"/>
        <v/>
      </c>
      <c r="M61" s="98"/>
      <c r="N61" s="99"/>
      <c r="O61" s="99"/>
      <c r="P61" s="46" t="str">
        <f t="shared" si="6"/>
        <v/>
      </c>
      <c r="R61" s="134"/>
      <c r="S61" s="133"/>
      <c r="T61" s="133"/>
      <c r="U61" s="133"/>
      <c r="V61" s="17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>
      <c r="A62" s="1"/>
      <c r="B62" s="15"/>
      <c r="C62" s="91"/>
      <c r="D62" s="92"/>
      <c r="E62" s="1"/>
      <c r="F62" s="15" t="b">
        <v>0</v>
      </c>
      <c r="G62" s="112"/>
      <c r="H62" s="103"/>
      <c r="I62" s="91"/>
      <c r="J62" s="91"/>
      <c r="K62" s="89" t="str">
        <f t="shared" si="8"/>
        <v/>
      </c>
      <c r="M62" s="98"/>
      <c r="N62" s="99"/>
      <c r="O62" s="99"/>
      <c r="P62" s="46" t="str">
        <f t="shared" si="6"/>
        <v/>
      </c>
      <c r="R62" s="134"/>
      <c r="S62" s="133"/>
      <c r="T62" s="133"/>
      <c r="U62" s="133"/>
      <c r="V62" s="17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>
      <c r="A63" s="1"/>
      <c r="B63" s="135" t="s">
        <v>48</v>
      </c>
      <c r="C63" s="136">
        <f t="shared" ref="C63:D63" si="9">SUM(C44:C62)</f>
        <v>0</v>
      </c>
      <c r="D63" s="137">
        <f t="shared" si="9"/>
        <v>0</v>
      </c>
      <c r="E63" s="1"/>
      <c r="F63" s="138"/>
      <c r="G63" s="139" t="s">
        <v>48</v>
      </c>
      <c r="H63" s="140"/>
      <c r="I63" s="141">
        <f t="shared" ref="I63:J63" si="10">SUM(I24:I62)</f>
        <v>0</v>
      </c>
      <c r="J63" s="141">
        <f t="shared" si="10"/>
        <v>0</v>
      </c>
      <c r="K63" s="142">
        <f>sum(K24:K62)</f>
        <v>0</v>
      </c>
      <c r="L63" s="1"/>
      <c r="M63" s="143" t="s">
        <v>48</v>
      </c>
      <c r="N63" s="144">
        <f t="shared" ref="N63:P63" si="11">SUM(N24:N62)</f>
        <v>0</v>
      </c>
      <c r="O63" s="144">
        <f t="shared" si="11"/>
        <v>0</v>
      </c>
      <c r="P63" s="145">
        <f t="shared" si="11"/>
        <v>0</v>
      </c>
      <c r="Q63" s="1"/>
      <c r="R63" s="146"/>
      <c r="S63" s="147"/>
      <c r="T63" s="147"/>
      <c r="U63" s="147"/>
      <c r="V63" s="24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>
      <c r="A64" s="1"/>
      <c r="B64" s="1"/>
      <c r="C64" s="1"/>
      <c r="D64" s="1"/>
      <c r="E64" s="1"/>
      <c r="F64" s="1"/>
      <c r="G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>
      <c r="A65" s="1"/>
      <c r="B65" s="1"/>
      <c r="C65" s="1"/>
      <c r="D65" s="1"/>
      <c r="E65" s="1"/>
      <c r="F65" s="1"/>
      <c r="G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>
      <c r="A66" s="1"/>
      <c r="B66" s="1"/>
      <c r="C66" s="1"/>
      <c r="D66" s="1"/>
      <c r="E66" s="1"/>
      <c r="F66" s="1"/>
      <c r="G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>
      <c r="A67" s="1"/>
      <c r="B67" s="1"/>
      <c r="C67" s="1"/>
      <c r="D67" s="1"/>
      <c r="E67" s="1"/>
      <c r="F67" s="1"/>
      <c r="G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>
      <c r="A68" s="1"/>
      <c r="B68" s="1"/>
      <c r="C68" s="1"/>
      <c r="D68" s="1"/>
      <c r="E68" s="1"/>
      <c r="F68" s="1"/>
      <c r="G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>
      <c r="A69" s="1"/>
      <c r="B69" s="1"/>
      <c r="C69" s="1"/>
      <c r="D69" s="1"/>
      <c r="E69" s="1"/>
      <c r="F69" s="1"/>
      <c r="G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>
      <c r="A70" s="1"/>
      <c r="B70" s="1"/>
      <c r="C70" s="1"/>
      <c r="D70" s="1"/>
      <c r="E70" s="1"/>
      <c r="F70" s="1"/>
      <c r="G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>
      <c r="A71" s="1"/>
      <c r="B71" s="1"/>
      <c r="C71" s="1"/>
      <c r="D71" s="1"/>
      <c r="E71" s="1"/>
      <c r="F71" s="1"/>
      <c r="G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>
      <c r="A72" s="1"/>
      <c r="B72" s="1"/>
      <c r="C72" s="1"/>
      <c r="D72" s="1"/>
      <c r="E72" s="1"/>
      <c r="F72" s="1"/>
      <c r="G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>
      <c r="A73" s="1"/>
      <c r="B73" s="1"/>
      <c r="C73" s="1"/>
      <c r="D73" s="1"/>
      <c r="E73" s="1"/>
      <c r="F73" s="1"/>
      <c r="G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>
      <c r="A74" s="1"/>
      <c r="B74" s="1"/>
      <c r="C74" s="1"/>
      <c r="D74" s="1"/>
      <c r="E74" s="1"/>
      <c r="F74" s="1"/>
      <c r="G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>
      <c r="A75" s="1"/>
      <c r="B75" s="1"/>
      <c r="C75" s="1"/>
      <c r="D75" s="1"/>
      <c r="E75" s="1"/>
      <c r="F75" s="1"/>
      <c r="G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>
      <c r="A76" s="1"/>
      <c r="B76" s="1"/>
      <c r="C76" s="1"/>
      <c r="D76" s="1"/>
      <c r="E76" s="1"/>
      <c r="F76" s="1"/>
      <c r="G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>
      <c r="A77" s="1"/>
      <c r="B77" s="1"/>
      <c r="C77" s="1"/>
      <c r="D77" s="1"/>
      <c r="E77" s="1"/>
      <c r="F77" s="1"/>
      <c r="G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>
      <c r="A78" s="1"/>
      <c r="B78" s="1"/>
      <c r="C78" s="1"/>
      <c r="D78" s="1"/>
      <c r="E78" s="1"/>
      <c r="F78" s="1"/>
      <c r="G78" s="1"/>
      <c r="H78" s="189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</row>
  </sheetData>
  <mergeCells count="35">
    <mergeCell ref="B4:D5"/>
    <mergeCell ref="J4:M6"/>
    <mergeCell ref="N4:P6"/>
    <mergeCell ref="Q4:T6"/>
    <mergeCell ref="U4:V6"/>
    <mergeCell ref="C6:D6"/>
    <mergeCell ref="C7:D7"/>
    <mergeCell ref="F4:I6"/>
    <mergeCell ref="F7:I9"/>
    <mergeCell ref="J7:M9"/>
    <mergeCell ref="N7:P9"/>
    <mergeCell ref="Q7:T9"/>
    <mergeCell ref="U7:V9"/>
    <mergeCell ref="C8:D8"/>
    <mergeCell ref="C9:D9"/>
    <mergeCell ref="B11:D12"/>
    <mergeCell ref="I15:I16"/>
    <mergeCell ref="B21:D22"/>
    <mergeCell ref="F21:J22"/>
    <mergeCell ref="M21:P22"/>
    <mergeCell ref="R21:V22"/>
    <mergeCell ref="R57:V57"/>
    <mergeCell ref="R58:V58"/>
    <mergeCell ref="R59:V59"/>
    <mergeCell ref="R60:V60"/>
    <mergeCell ref="R61:V61"/>
    <mergeCell ref="R62:V62"/>
    <mergeCell ref="R63:V63"/>
    <mergeCell ref="B31:D32"/>
    <mergeCell ref="B41:D42"/>
    <mergeCell ref="R51:V52"/>
    <mergeCell ref="R53:V53"/>
    <mergeCell ref="R54:V54"/>
    <mergeCell ref="R55:V55"/>
    <mergeCell ref="R56:V56"/>
  </mergeCells>
  <conditionalFormatting sqref="K24:K62">
    <cfRule type="cellIs" dxfId="0" priority="1" operator="greaterThan">
      <formula>0</formula>
    </cfRule>
  </conditionalFormatting>
  <conditionalFormatting sqref="K24:K62">
    <cfRule type="cellIs" dxfId="1" priority="2" operator="lessThan">
      <formula>0</formula>
    </cfRule>
  </conditionalFormatting>
  <conditionalFormatting sqref="P24:P62">
    <cfRule type="cellIs" dxfId="0" priority="3" operator="greaterThan">
      <formula>0</formula>
    </cfRule>
  </conditionalFormatting>
  <conditionalFormatting sqref="P24:P62">
    <cfRule type="cellIs" dxfId="1" priority="4" operator="lessThan">
      <formula>0</formula>
    </cfRule>
  </conditionalFormatting>
  <conditionalFormatting sqref="P24:P62">
    <cfRule type="cellIs" dxfId="2" priority="5" operator="equal">
      <formula>0</formula>
    </cfRule>
  </conditionalFormatting>
  <conditionalFormatting sqref="K24:K62">
    <cfRule type="cellIs" dxfId="2" priority="6" operator="equal">
      <formula>0</formula>
    </cfRule>
  </conditionalFormatting>
  <conditionalFormatting sqref="K63">
    <cfRule type="cellIs" dxfId="3" priority="7" operator="greaterThan">
      <formula>0</formula>
    </cfRule>
  </conditionalFormatting>
  <conditionalFormatting sqref="K63">
    <cfRule type="cellIs" dxfId="4" priority="8" operator="lessThan">
      <formula>0</formula>
    </cfRule>
  </conditionalFormatting>
  <conditionalFormatting sqref="P63">
    <cfRule type="cellIs" dxfId="3" priority="9" operator="greaterThan">
      <formula>0</formula>
    </cfRule>
  </conditionalFormatting>
  <conditionalFormatting sqref="K63">
    <cfRule type="cellIs" dxfId="5" priority="10" operator="equal">
      <formula>0</formula>
    </cfRule>
  </conditionalFormatting>
  <dataValidations>
    <dataValidation type="list" allowBlank="1" showErrorMessage="1" sqref="T24:T27 T29:T48 H24:H62">
      <formula1>setting!$A$2:$A$32</formula1>
    </dataValidation>
    <dataValidation type="list" allowBlank="1" showErrorMessage="1" sqref="T28">
      <formula1>setting!$A$2:$A$33</formula1>
    </dataValidation>
    <dataValidation type="list" allowBlank="1" showErrorMessage="1" sqref="C8">
      <formula1>"$,£,€,¥,₽,₩,R$"</formula1>
    </dataValidation>
    <dataValidation type="custom" allowBlank="1" showDropDown="1" sqref="C7">
      <formula1>OR(NOT(ISERROR(DATEVALUE(C7))), AND(ISNUMBER(C7), LEFT(CELL("format", C7))="D"))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15.0"/>
    <col customWidth="1" min="5" max="5" width="1.38"/>
    <col customWidth="1" min="6" max="6" width="3.38"/>
    <col customWidth="1" min="7" max="7" width="15.5"/>
    <col customWidth="1" min="8" max="8" width="7.0"/>
    <col customWidth="1" min="12" max="12" width="2.63"/>
    <col customWidth="1" min="13" max="13" width="15.13"/>
    <col customWidth="1" min="17" max="17" width="2.63"/>
    <col customWidth="1" min="18" max="18" width="3.13"/>
    <col customWidth="1" min="19" max="19" width="13.25"/>
    <col customWidth="1" min="20" max="20" width="5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40.5" customHeight="1">
      <c r="A2" s="1"/>
      <c r="B2" s="1"/>
      <c r="C2" s="2" t="s">
        <v>90</v>
      </c>
      <c r="D2" s="1"/>
      <c r="E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ht="5.25" customHeight="1">
      <c r="A3" s="1"/>
      <c r="B3" s="1"/>
      <c r="C3" s="1"/>
      <c r="D3" s="1"/>
      <c r="E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>
      <c r="A4" s="1"/>
      <c r="B4" s="3" t="s">
        <v>1</v>
      </c>
      <c r="C4" s="4"/>
      <c r="D4" s="5"/>
      <c r="E4" s="1"/>
      <c r="F4" s="6" t="s">
        <v>2</v>
      </c>
      <c r="G4" s="4"/>
      <c r="H4" s="4"/>
      <c r="I4" s="4"/>
      <c r="J4" s="7" t="s">
        <v>3</v>
      </c>
      <c r="K4" s="4"/>
      <c r="L4" s="4"/>
      <c r="M4" s="4"/>
      <c r="N4" s="7" t="s">
        <v>4</v>
      </c>
      <c r="O4" s="4"/>
      <c r="P4" s="4"/>
      <c r="Q4" s="8" t="s">
        <v>5</v>
      </c>
      <c r="R4" s="4"/>
      <c r="S4" s="4"/>
      <c r="T4" s="4"/>
      <c r="U4" s="7" t="s">
        <v>6</v>
      </c>
      <c r="V4" s="5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>
      <c r="A5" s="1"/>
      <c r="B5" s="9"/>
      <c r="C5" s="10"/>
      <c r="D5" s="11"/>
      <c r="E5" s="1"/>
      <c r="F5" s="12"/>
      <c r="V5" s="13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>
      <c r="A6" s="1"/>
      <c r="B6" s="15" t="s">
        <v>7</v>
      </c>
      <c r="C6" s="16">
        <v>45778.0</v>
      </c>
      <c r="D6" s="17"/>
      <c r="E6" s="1"/>
      <c r="F6" s="12"/>
      <c r="V6" s="13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>
      <c r="A7" s="1"/>
      <c r="B7" s="15" t="s">
        <v>8</v>
      </c>
      <c r="C7" s="16">
        <v>45808.0</v>
      </c>
      <c r="D7" s="17"/>
      <c r="E7" s="1"/>
      <c r="F7" s="18">
        <f>D15</f>
        <v>0</v>
      </c>
      <c r="J7" s="19">
        <f>D19</f>
        <v>0</v>
      </c>
      <c r="N7" s="20">
        <f>D17</f>
        <v>0</v>
      </c>
      <c r="Q7" s="19">
        <f>D18</f>
        <v>0</v>
      </c>
      <c r="U7" s="19">
        <f>D16</f>
        <v>0</v>
      </c>
      <c r="V7" s="13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>
      <c r="A8" s="1"/>
      <c r="B8" s="15" t="s">
        <v>9</v>
      </c>
      <c r="C8" s="21" t="s">
        <v>10</v>
      </c>
      <c r="D8" s="17"/>
      <c r="E8" s="1"/>
      <c r="F8" s="12"/>
      <c r="V8" s="13"/>
      <c r="W8" s="1"/>
      <c r="X8" s="1"/>
      <c r="Y8" s="1"/>
      <c r="AA8" s="1"/>
      <c r="AB8" s="1"/>
      <c r="AC8" s="1"/>
      <c r="AD8" s="1"/>
      <c r="AE8" s="1"/>
      <c r="AF8" s="1"/>
      <c r="AG8" s="1"/>
    </row>
    <row r="9">
      <c r="A9" s="1"/>
      <c r="B9" s="22" t="s">
        <v>11</v>
      </c>
      <c r="C9" s="23">
        <f>April!J7</f>
        <v>0</v>
      </c>
      <c r="D9" s="24"/>
      <c r="E9" s="1"/>
      <c r="F9" s="25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7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>
      <c r="A10" s="1"/>
      <c r="B10" s="28" t="s">
        <v>12</v>
      </c>
      <c r="C10" s="29">
        <f>D16+D17+D18</f>
        <v>0</v>
      </c>
      <c r="D10" s="29">
        <f>D19</f>
        <v>0</v>
      </c>
      <c r="E10" s="1"/>
      <c r="W10" s="1"/>
      <c r="X10" s="1"/>
      <c r="Y10" s="1"/>
      <c r="Z10" s="1"/>
      <c r="AA10" s="1"/>
      <c r="AB10" s="1"/>
      <c r="AC10" s="30"/>
      <c r="AD10" s="30"/>
      <c r="AE10" s="30"/>
      <c r="AF10" s="30"/>
      <c r="AG10" s="1"/>
    </row>
    <row r="11">
      <c r="A11" s="1"/>
      <c r="B11" s="31" t="s">
        <v>13</v>
      </c>
      <c r="C11" s="4"/>
      <c r="D11" s="5"/>
      <c r="E11" s="1"/>
      <c r="F11" s="32"/>
      <c r="G11" s="33"/>
      <c r="H11" s="33"/>
      <c r="I11" s="33"/>
      <c r="J11" s="33"/>
      <c r="K11" s="34"/>
      <c r="M11" s="32"/>
      <c r="N11" s="33"/>
      <c r="O11" s="33"/>
      <c r="P11" s="34"/>
      <c r="R11" s="32"/>
      <c r="S11" s="33"/>
      <c r="T11" s="33"/>
      <c r="U11" s="33"/>
      <c r="V11" s="34"/>
      <c r="W11" s="1"/>
      <c r="X11" s="1"/>
      <c r="Y11" s="1"/>
      <c r="Z11" s="1"/>
      <c r="AA11" s="1"/>
      <c r="AB11" s="1"/>
      <c r="AC11" s="30"/>
      <c r="AD11" s="30"/>
      <c r="AE11" s="30"/>
      <c r="AF11" s="30"/>
      <c r="AG11" s="1"/>
    </row>
    <row r="12">
      <c r="A12" s="1"/>
      <c r="B12" s="12"/>
      <c r="D12" s="13"/>
      <c r="E12" s="1"/>
      <c r="F12" s="35"/>
      <c r="G12" s="36"/>
      <c r="H12" s="36"/>
      <c r="I12" s="36"/>
      <c r="J12" s="36"/>
      <c r="K12" s="37"/>
      <c r="L12" s="1"/>
      <c r="M12" s="38"/>
      <c r="N12" s="1"/>
      <c r="O12" s="1"/>
      <c r="P12" s="39"/>
      <c r="Q12" s="1"/>
      <c r="R12" s="38"/>
      <c r="S12" s="1"/>
      <c r="T12" s="1"/>
      <c r="U12" s="1"/>
      <c r="V12" s="39"/>
      <c r="W12" s="1"/>
      <c r="X12" s="1"/>
      <c r="Y12" s="1"/>
      <c r="Z12" s="1"/>
      <c r="AA12" s="1"/>
      <c r="AB12" s="1"/>
      <c r="AC12" s="30"/>
      <c r="AD12" s="28" t="s">
        <v>14</v>
      </c>
      <c r="AE12" s="29">
        <f>V49</f>
        <v>0</v>
      </c>
      <c r="AF12" s="30"/>
      <c r="AG12" s="1"/>
    </row>
    <row r="13">
      <c r="A13" s="1"/>
      <c r="B13" s="40"/>
      <c r="C13" s="41" t="s">
        <v>15</v>
      </c>
      <c r="D13" s="42" t="s">
        <v>16</v>
      </c>
      <c r="E13" s="1"/>
      <c r="F13" s="43"/>
      <c r="G13" s="36"/>
      <c r="H13" s="36"/>
      <c r="I13" s="36"/>
      <c r="J13" s="36"/>
      <c r="K13" s="37"/>
      <c r="L13" s="1"/>
      <c r="M13" s="38"/>
      <c r="N13" s="1"/>
      <c r="O13" s="1"/>
      <c r="P13" s="39"/>
      <c r="Q13" s="1"/>
      <c r="R13" s="38"/>
      <c r="S13" s="1"/>
      <c r="T13" s="1"/>
      <c r="U13" s="1"/>
      <c r="V13" s="39"/>
      <c r="W13" s="1"/>
      <c r="X13" s="1"/>
      <c r="Y13" s="1"/>
      <c r="Z13" s="1"/>
      <c r="AA13" s="1"/>
      <c r="AB13" s="1"/>
      <c r="AC13" s="30"/>
      <c r="AD13" s="28" t="s">
        <v>17</v>
      </c>
      <c r="AE13" s="29">
        <f>J63</f>
        <v>0</v>
      </c>
      <c r="AF13" s="30"/>
      <c r="AG13" s="1"/>
    </row>
    <row r="14">
      <c r="A14" s="1"/>
      <c r="B14" s="44" t="s">
        <v>11</v>
      </c>
      <c r="C14" s="45">
        <f>C9</f>
        <v>0</v>
      </c>
      <c r="D14" s="46">
        <f>C9</f>
        <v>0</v>
      </c>
      <c r="E14" s="47" t="s">
        <v>18</v>
      </c>
      <c r="F14" s="43"/>
      <c r="G14" s="36"/>
      <c r="H14" s="36"/>
      <c r="I14" s="36"/>
      <c r="J14" s="36"/>
      <c r="K14" s="37"/>
      <c r="L14" s="1"/>
      <c r="M14" s="38"/>
      <c r="N14" s="1"/>
      <c r="O14" s="1"/>
      <c r="P14" s="39"/>
      <c r="Q14" s="1"/>
      <c r="R14" s="38"/>
      <c r="S14" s="1"/>
      <c r="T14" s="1"/>
      <c r="U14" s="1"/>
      <c r="V14" s="39"/>
      <c r="W14" s="1"/>
      <c r="X14" s="1"/>
      <c r="Y14" s="1"/>
      <c r="Z14" s="1"/>
      <c r="AA14" s="1"/>
      <c r="AB14" s="1"/>
      <c r="AC14" s="30"/>
      <c r="AD14" s="28" t="s">
        <v>19</v>
      </c>
      <c r="AE14" s="48">
        <f>O63</f>
        <v>0</v>
      </c>
      <c r="AF14" s="30"/>
      <c r="AG14" s="1"/>
    </row>
    <row r="15">
      <c r="A15" s="1"/>
      <c r="B15" s="15" t="s">
        <v>20</v>
      </c>
      <c r="C15" s="49">
        <f t="shared" ref="C15:D15" si="1">C29+C39</f>
        <v>0</v>
      </c>
      <c r="D15" s="50">
        <f t="shared" si="1"/>
        <v>0</v>
      </c>
      <c r="E15" s="1"/>
      <c r="F15" s="43"/>
      <c r="G15" s="51"/>
      <c r="H15" s="51"/>
      <c r="I15" s="52">
        <f>D19</f>
        <v>0</v>
      </c>
      <c r="J15" s="51"/>
      <c r="K15" s="37"/>
      <c r="L15" s="1"/>
      <c r="M15" s="38"/>
      <c r="N15" s="1"/>
      <c r="O15" s="1"/>
      <c r="P15" s="39"/>
      <c r="Q15" s="1"/>
      <c r="R15" s="38"/>
      <c r="S15" s="1"/>
      <c r="T15" s="1"/>
      <c r="U15" s="1"/>
      <c r="V15" s="39"/>
      <c r="W15" s="1"/>
      <c r="X15" s="1"/>
      <c r="Y15" s="1"/>
      <c r="Z15" s="1"/>
      <c r="AA15" s="1"/>
      <c r="AB15" s="1"/>
      <c r="AC15" s="30"/>
      <c r="AD15" s="28" t="s">
        <v>21</v>
      </c>
      <c r="AE15" s="29">
        <f>D63</f>
        <v>0</v>
      </c>
      <c r="AF15" s="30"/>
      <c r="AG15" s="1"/>
    </row>
    <row r="16">
      <c r="A16" s="1"/>
      <c r="B16" s="15" t="s">
        <v>6</v>
      </c>
      <c r="C16" s="49">
        <f t="shared" ref="C16:D16" si="2">C63</f>
        <v>0</v>
      </c>
      <c r="D16" s="50">
        <f t="shared" si="2"/>
        <v>0</v>
      </c>
      <c r="E16" s="1"/>
      <c r="F16" s="43"/>
      <c r="G16" s="51"/>
      <c r="H16" s="51"/>
      <c r="J16" s="51"/>
      <c r="K16" s="37"/>
      <c r="L16" s="1"/>
      <c r="M16" s="38"/>
      <c r="N16" s="1"/>
      <c r="O16" s="1"/>
      <c r="P16" s="39"/>
      <c r="Q16" s="1"/>
      <c r="R16" s="38"/>
      <c r="S16" s="1"/>
      <c r="T16" s="1"/>
      <c r="U16" s="1"/>
      <c r="V16" s="39"/>
      <c r="W16" s="1"/>
      <c r="X16" s="1"/>
      <c r="Y16" s="1"/>
      <c r="Z16" s="1"/>
      <c r="AA16" s="1"/>
      <c r="AB16" s="1"/>
      <c r="AC16" s="30"/>
      <c r="AD16" s="30"/>
      <c r="AE16" s="30"/>
      <c r="AF16" s="30"/>
      <c r="AG16" s="1"/>
    </row>
    <row r="17">
      <c r="A17" s="1"/>
      <c r="B17" s="15" t="s">
        <v>4</v>
      </c>
      <c r="C17" s="49">
        <f t="shared" ref="C17:D17" si="3">I63+N63</f>
        <v>0</v>
      </c>
      <c r="D17" s="50">
        <f t="shared" si="3"/>
        <v>0</v>
      </c>
      <c r="E17" s="1"/>
      <c r="F17" s="43"/>
      <c r="G17" s="36"/>
      <c r="H17" s="36"/>
      <c r="I17" s="36"/>
      <c r="J17" s="36"/>
      <c r="K17" s="37"/>
      <c r="L17" s="1"/>
      <c r="M17" s="38"/>
      <c r="N17" s="1"/>
      <c r="O17" s="1"/>
      <c r="P17" s="39"/>
      <c r="Q17" s="1"/>
      <c r="R17" s="38"/>
      <c r="S17" s="1"/>
      <c r="T17" s="1"/>
      <c r="U17" s="1"/>
      <c r="V17" s="39"/>
      <c r="W17" s="1"/>
      <c r="X17" s="1"/>
      <c r="Y17" s="1"/>
      <c r="Z17" s="1"/>
      <c r="AA17" s="1"/>
      <c r="AB17" s="1"/>
      <c r="AC17" s="30"/>
      <c r="AD17" s="30"/>
      <c r="AE17" s="30"/>
      <c r="AF17" s="30"/>
      <c r="AG17" s="1"/>
    </row>
    <row r="18">
      <c r="A18" s="1"/>
      <c r="B18" s="53" t="s">
        <v>22</v>
      </c>
      <c r="C18" s="54">
        <f t="shared" ref="C18:D18" si="4">U49</f>
        <v>0</v>
      </c>
      <c r="D18" s="55">
        <f t="shared" si="4"/>
        <v>0</v>
      </c>
      <c r="E18" s="1"/>
      <c r="F18" s="43"/>
      <c r="G18" s="36"/>
      <c r="H18" s="36"/>
      <c r="I18" s="36"/>
      <c r="J18" s="36"/>
      <c r="K18" s="37"/>
      <c r="L18" s="1"/>
      <c r="M18" s="38"/>
      <c r="N18" s="1"/>
      <c r="O18" s="1"/>
      <c r="P18" s="39"/>
      <c r="Q18" s="1"/>
      <c r="R18" s="38"/>
      <c r="S18" s="1"/>
      <c r="T18" s="1"/>
      <c r="U18" s="1"/>
      <c r="V18" s="39"/>
      <c r="W18" s="1"/>
      <c r="X18" s="1"/>
      <c r="Y18" s="1"/>
      <c r="Z18" s="1"/>
      <c r="AA18" s="1"/>
      <c r="AB18" s="1"/>
      <c r="AC18" s="30"/>
      <c r="AD18" s="30"/>
      <c r="AE18" s="30"/>
      <c r="AF18" s="30"/>
      <c r="AG18" s="1"/>
    </row>
    <row r="19">
      <c r="A19" s="1"/>
      <c r="B19" s="56" t="s">
        <v>23</v>
      </c>
      <c r="C19" s="57">
        <f>C14+C15-C16-C17-C18</f>
        <v>0</v>
      </c>
      <c r="D19" s="58">
        <f>D14+D15-D17-D18-D16</f>
        <v>0</v>
      </c>
      <c r="E19" s="1"/>
      <c r="F19" s="59"/>
      <c r="G19" s="60"/>
      <c r="H19" s="60"/>
      <c r="I19" s="60"/>
      <c r="J19" s="60"/>
      <c r="K19" s="61"/>
      <c r="L19" s="1"/>
      <c r="M19" s="62"/>
      <c r="N19" s="63"/>
      <c r="O19" s="63"/>
      <c r="P19" s="64"/>
      <c r="Q19" s="1"/>
      <c r="R19" s="62"/>
      <c r="S19" s="63"/>
      <c r="T19" s="63"/>
      <c r="U19" s="63"/>
      <c r="V19" s="64"/>
      <c r="W19" s="1"/>
      <c r="X19" s="1"/>
      <c r="Y19" s="1"/>
      <c r="Z19" s="1"/>
      <c r="AA19" s="1"/>
      <c r="AB19" s="1"/>
      <c r="AC19" s="30"/>
      <c r="AD19" s="30"/>
      <c r="AE19" s="30"/>
      <c r="AF19" s="30"/>
      <c r="AG19" s="1"/>
    </row>
    <row r="20">
      <c r="A20" s="1"/>
      <c r="B20" s="65"/>
      <c r="C20" s="66"/>
      <c r="D20" s="15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30"/>
      <c r="AD20" s="30"/>
      <c r="AE20" s="30"/>
      <c r="AF20" s="30"/>
      <c r="AG20" s="1"/>
    </row>
    <row r="21">
      <c r="A21" s="1"/>
      <c r="B21" s="67" t="s">
        <v>24</v>
      </c>
      <c r="C21" s="4"/>
      <c r="D21" s="5"/>
      <c r="E21" s="1"/>
      <c r="F21" s="68" t="s">
        <v>25</v>
      </c>
      <c r="G21" s="4"/>
      <c r="H21" s="4"/>
      <c r="I21" s="4"/>
      <c r="J21" s="4"/>
      <c r="K21" s="69"/>
      <c r="L21" s="1"/>
      <c r="M21" s="70" t="s">
        <v>26</v>
      </c>
      <c r="N21" s="4"/>
      <c r="O21" s="4"/>
      <c r="P21" s="5"/>
      <c r="Q21" s="1"/>
      <c r="R21" s="71" t="s">
        <v>22</v>
      </c>
      <c r="S21" s="4"/>
      <c r="T21" s="4"/>
      <c r="U21" s="4"/>
      <c r="V21" s="5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>
      <c r="A22" s="1"/>
      <c r="B22" s="12"/>
      <c r="D22" s="13"/>
      <c r="E22" s="1"/>
      <c r="F22" s="25"/>
      <c r="G22" s="26"/>
      <c r="H22" s="26"/>
      <c r="I22" s="26"/>
      <c r="J22" s="26"/>
      <c r="K22" s="72"/>
      <c r="L22" s="1"/>
      <c r="M22" s="12"/>
      <c r="P22" s="13"/>
      <c r="Q22" s="1"/>
      <c r="R22" s="12"/>
      <c r="V22" s="13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>
      <c r="A23" s="1"/>
      <c r="B23" s="73"/>
      <c r="C23" s="74" t="s">
        <v>27</v>
      </c>
      <c r="D23" s="75" t="s">
        <v>16</v>
      </c>
      <c r="E23" s="1"/>
      <c r="F23" s="76"/>
      <c r="G23" s="77"/>
      <c r="H23" s="77" t="s">
        <v>28</v>
      </c>
      <c r="I23" s="77" t="s">
        <v>15</v>
      </c>
      <c r="J23" s="77" t="s">
        <v>16</v>
      </c>
      <c r="K23" s="78" t="s">
        <v>23</v>
      </c>
      <c r="L23" s="1"/>
      <c r="M23" s="79"/>
      <c r="N23" s="80" t="s">
        <v>15</v>
      </c>
      <c r="O23" s="80" t="s">
        <v>16</v>
      </c>
      <c r="P23" s="81" t="s">
        <v>23</v>
      </c>
      <c r="Q23" s="1"/>
      <c r="R23" s="82"/>
      <c r="S23" s="83"/>
      <c r="T23" s="83" t="s">
        <v>28</v>
      </c>
      <c r="U23" s="83" t="s">
        <v>15</v>
      </c>
      <c r="V23" s="84" t="s">
        <v>16</v>
      </c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>
      <c r="A24" s="1"/>
      <c r="B24" s="44" t="s">
        <v>29</v>
      </c>
      <c r="C24" s="85"/>
      <c r="D24" s="86"/>
      <c r="E24" s="1"/>
      <c r="F24" s="44" t="b">
        <v>0</v>
      </c>
      <c r="G24" s="187"/>
      <c r="H24" s="88"/>
      <c r="I24" s="85"/>
      <c r="J24" s="85"/>
      <c r="K24" s="89" t="str">
        <f t="shared" ref="K24:K36" si="5">if(I24="",J24,(if(J24="","",I24-J24)))</f>
        <v/>
      </c>
      <c r="L24" s="1"/>
      <c r="M24" s="44"/>
      <c r="N24" s="85"/>
      <c r="O24" s="85"/>
      <c r="P24" s="46" t="str">
        <f t="shared" ref="P24:P62" si="6">if(N24="",O24,(if(O24="","",N24-O24)))</f>
        <v/>
      </c>
      <c r="Q24" s="1"/>
      <c r="R24" s="44" t="b">
        <v>0</v>
      </c>
      <c r="S24" s="90"/>
      <c r="T24" s="88"/>
      <c r="U24" s="85"/>
      <c r="V24" s="86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>
      <c r="A25" s="1"/>
      <c r="B25" s="15" t="s">
        <v>33</v>
      </c>
      <c r="C25" s="91"/>
      <c r="D25" s="92"/>
      <c r="E25" s="1"/>
      <c r="F25" s="15" t="b">
        <v>0</v>
      </c>
      <c r="G25" s="93"/>
      <c r="H25" s="94"/>
      <c r="I25" s="91"/>
      <c r="J25" s="91"/>
      <c r="K25" s="89" t="str">
        <f t="shared" si="5"/>
        <v/>
      </c>
      <c r="L25" s="1"/>
      <c r="M25" s="15"/>
      <c r="N25" s="91"/>
      <c r="O25" s="91"/>
      <c r="P25" s="46" t="str">
        <f t="shared" si="6"/>
        <v/>
      </c>
      <c r="Q25" s="1"/>
      <c r="R25" s="15" t="b">
        <v>0</v>
      </c>
      <c r="S25" s="21"/>
      <c r="T25" s="94"/>
      <c r="U25" s="91"/>
      <c r="V25" s="92"/>
      <c r="W25" s="1"/>
      <c r="X25" s="1"/>
      <c r="Z25" s="1"/>
      <c r="AA25" s="1"/>
      <c r="AB25" s="1"/>
      <c r="AC25" s="1"/>
      <c r="AD25" s="1"/>
      <c r="AE25" s="1"/>
      <c r="AF25" s="1"/>
      <c r="AG25" s="1"/>
    </row>
    <row r="26">
      <c r="A26" s="1"/>
      <c r="B26" s="15" t="s">
        <v>37</v>
      </c>
      <c r="C26" s="91"/>
      <c r="D26" s="92"/>
      <c r="E26" s="1"/>
      <c r="F26" s="15" t="b">
        <v>0</v>
      </c>
      <c r="G26" s="93"/>
      <c r="H26" s="94"/>
      <c r="I26" s="91"/>
      <c r="J26" s="91"/>
      <c r="K26" s="89" t="str">
        <f t="shared" si="5"/>
        <v/>
      </c>
      <c r="L26" s="1"/>
      <c r="M26" s="15"/>
      <c r="N26" s="91"/>
      <c r="O26" s="91"/>
      <c r="P26" s="46" t="str">
        <f t="shared" si="6"/>
        <v/>
      </c>
      <c r="Q26" s="1"/>
      <c r="R26" s="15" t="b">
        <v>0</v>
      </c>
      <c r="S26" s="21"/>
      <c r="T26" s="94"/>
      <c r="U26" s="91"/>
      <c r="V26" s="92"/>
      <c r="W26" s="1"/>
      <c r="X26" s="1"/>
      <c r="Z26" s="1"/>
      <c r="AA26" s="1"/>
      <c r="AB26" s="1"/>
      <c r="AC26" s="1"/>
      <c r="AD26" s="1"/>
      <c r="AE26" s="1"/>
      <c r="AF26" s="1"/>
      <c r="AG26" s="1"/>
    </row>
    <row r="27">
      <c r="A27" s="1"/>
      <c r="B27" s="15" t="s">
        <v>41</v>
      </c>
      <c r="C27" s="91"/>
      <c r="D27" s="92"/>
      <c r="E27" s="1"/>
      <c r="F27" s="15" t="b">
        <v>0</v>
      </c>
      <c r="G27" s="93"/>
      <c r="H27" s="94"/>
      <c r="I27" s="91"/>
      <c r="J27" s="95"/>
      <c r="K27" s="89" t="str">
        <f t="shared" si="5"/>
        <v/>
      </c>
      <c r="L27" s="1"/>
      <c r="M27" s="15"/>
      <c r="N27" s="91"/>
      <c r="O27" s="91"/>
      <c r="P27" s="46" t="str">
        <f t="shared" si="6"/>
        <v/>
      </c>
      <c r="Q27" s="1"/>
      <c r="R27" s="15" t="b">
        <v>0</v>
      </c>
      <c r="S27" s="21"/>
      <c r="T27" s="94"/>
      <c r="U27" s="91"/>
      <c r="V27" s="92"/>
      <c r="W27" s="1"/>
      <c r="X27" s="1"/>
      <c r="Z27" s="1"/>
      <c r="AA27" s="1"/>
      <c r="AB27" s="1"/>
      <c r="AC27" s="1"/>
      <c r="AD27" s="1"/>
      <c r="AE27" s="1"/>
      <c r="AF27" s="1"/>
      <c r="AG27" s="1"/>
    </row>
    <row r="28">
      <c r="A28" s="1"/>
      <c r="B28" s="53" t="s">
        <v>45</v>
      </c>
      <c r="C28" s="96"/>
      <c r="D28" s="97"/>
      <c r="E28" s="1"/>
      <c r="F28" s="15" t="b">
        <v>0</v>
      </c>
      <c r="G28" s="93"/>
      <c r="H28" s="94"/>
      <c r="I28" s="91"/>
      <c r="J28" s="91"/>
      <c r="K28" s="89" t="str">
        <f t="shared" si="5"/>
        <v/>
      </c>
      <c r="L28" s="1"/>
      <c r="M28" s="15"/>
      <c r="N28" s="91"/>
      <c r="O28" s="91"/>
      <c r="P28" s="46" t="str">
        <f t="shared" si="6"/>
        <v/>
      </c>
      <c r="Q28" s="1"/>
      <c r="R28" s="98" t="b">
        <v>0</v>
      </c>
      <c r="S28" s="90"/>
      <c r="T28" s="94"/>
      <c r="U28" s="99"/>
      <c r="V28" s="92"/>
      <c r="W28" s="1"/>
      <c r="X28" s="1"/>
      <c r="Z28" s="1"/>
      <c r="AA28" s="1"/>
      <c r="AB28" s="1"/>
      <c r="AC28" s="1"/>
      <c r="AD28" s="1"/>
      <c r="AE28" s="1"/>
      <c r="AF28" s="1"/>
      <c r="AG28" s="1"/>
    </row>
    <row r="29">
      <c r="A29" s="1"/>
      <c r="B29" s="100" t="s">
        <v>48</v>
      </c>
      <c r="C29" s="101">
        <f t="shared" ref="C29:D29" si="7">sum(C24:C28)</f>
        <v>0</v>
      </c>
      <c r="D29" s="102">
        <f t="shared" si="7"/>
        <v>0</v>
      </c>
      <c r="E29" s="1"/>
      <c r="F29" s="15" t="b">
        <v>0</v>
      </c>
      <c r="G29" s="93"/>
      <c r="H29" s="94"/>
      <c r="I29" s="91"/>
      <c r="J29" s="91"/>
      <c r="K29" s="89" t="str">
        <f t="shared" si="5"/>
        <v/>
      </c>
      <c r="L29" s="1"/>
      <c r="M29" s="15"/>
      <c r="N29" s="91"/>
      <c r="O29" s="91"/>
      <c r="P29" s="46" t="str">
        <f t="shared" si="6"/>
        <v/>
      </c>
      <c r="Q29" s="1"/>
      <c r="R29" s="98" t="b">
        <v>0</v>
      </c>
      <c r="S29" s="90"/>
      <c r="T29" s="103"/>
      <c r="U29" s="99"/>
      <c r="V29" s="104"/>
      <c r="W29" s="1"/>
      <c r="X29" s="1"/>
      <c r="Y29" s="1"/>
      <c r="Z29" s="1"/>
      <c r="AA29" s="105"/>
      <c r="AB29" s="1"/>
      <c r="AC29" s="1"/>
      <c r="AD29" s="1"/>
      <c r="AE29" s="1"/>
      <c r="AF29" s="1"/>
      <c r="AG29" s="1"/>
    </row>
    <row r="30">
      <c r="A30" s="1"/>
      <c r="B30" s="1"/>
      <c r="C30" s="1"/>
      <c r="D30" s="1"/>
      <c r="E30" s="1"/>
      <c r="F30" s="15" t="b">
        <v>0</v>
      </c>
      <c r="G30" s="93"/>
      <c r="H30" s="94"/>
      <c r="I30" s="91"/>
      <c r="J30" s="91"/>
      <c r="K30" s="89" t="str">
        <f t="shared" si="5"/>
        <v/>
      </c>
      <c r="L30" s="1"/>
      <c r="M30" s="15"/>
      <c r="N30" s="91"/>
      <c r="O30" s="91"/>
      <c r="P30" s="46" t="str">
        <f t="shared" si="6"/>
        <v/>
      </c>
      <c r="Q30" s="1"/>
      <c r="R30" s="98" t="b">
        <v>0</v>
      </c>
      <c r="S30" s="90"/>
      <c r="T30" s="103"/>
      <c r="U30" s="99"/>
      <c r="V30" s="104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>
      <c r="A31" s="1"/>
      <c r="B31" s="106" t="s">
        <v>53</v>
      </c>
      <c r="C31" s="4"/>
      <c r="D31" s="5"/>
      <c r="E31" s="1"/>
      <c r="F31" s="15" t="b">
        <v>0</v>
      </c>
      <c r="G31" s="93"/>
      <c r="H31" s="94"/>
      <c r="I31" s="91"/>
      <c r="J31" s="91"/>
      <c r="K31" s="89" t="str">
        <f t="shared" si="5"/>
        <v/>
      </c>
      <c r="L31" s="1"/>
      <c r="M31" s="15"/>
      <c r="N31" s="91"/>
      <c r="O31" s="91"/>
      <c r="P31" s="46" t="str">
        <f t="shared" si="6"/>
        <v/>
      </c>
      <c r="Q31" s="1"/>
      <c r="R31" s="98" t="b">
        <v>0</v>
      </c>
      <c r="S31" s="90"/>
      <c r="T31" s="103"/>
      <c r="U31" s="99"/>
      <c r="V31" s="104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>
      <c r="A32" s="1"/>
      <c r="B32" s="12"/>
      <c r="D32" s="13"/>
      <c r="E32" s="1"/>
      <c r="F32" s="15" t="b">
        <v>0</v>
      </c>
      <c r="G32" s="93"/>
      <c r="H32" s="94"/>
      <c r="I32" s="91"/>
      <c r="J32" s="91"/>
      <c r="K32" s="89" t="str">
        <f t="shared" si="5"/>
        <v/>
      </c>
      <c r="L32" s="1"/>
      <c r="M32" s="15"/>
      <c r="N32" s="107"/>
      <c r="O32" s="91"/>
      <c r="P32" s="46" t="str">
        <f t="shared" si="6"/>
        <v/>
      </c>
      <c r="Q32" s="1"/>
      <c r="R32" s="98" t="b">
        <v>0</v>
      </c>
      <c r="S32" s="90"/>
      <c r="T32" s="103"/>
      <c r="U32" s="99"/>
      <c r="V32" s="104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>
      <c r="A33" s="1"/>
      <c r="B33" s="108"/>
      <c r="C33" s="109" t="s">
        <v>27</v>
      </c>
      <c r="D33" s="110" t="s">
        <v>16</v>
      </c>
      <c r="E33" s="1"/>
      <c r="F33" s="15" t="b">
        <v>0</v>
      </c>
      <c r="G33" s="93"/>
      <c r="H33" s="94"/>
      <c r="I33" s="91"/>
      <c r="J33" s="91"/>
      <c r="K33" s="89" t="str">
        <f t="shared" si="5"/>
        <v/>
      </c>
      <c r="L33" s="1"/>
      <c r="M33" s="15"/>
      <c r="N33" s="91"/>
      <c r="O33" s="91"/>
      <c r="P33" s="46" t="str">
        <f t="shared" si="6"/>
        <v/>
      </c>
      <c r="Q33" s="1"/>
      <c r="R33" s="98" t="b">
        <v>0</v>
      </c>
      <c r="S33" s="90"/>
      <c r="T33" s="103"/>
      <c r="U33" s="99"/>
      <c r="V33" s="104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>
      <c r="A34" s="1"/>
      <c r="B34" s="15" t="s">
        <v>59</v>
      </c>
      <c r="C34" s="91"/>
      <c r="D34" s="92"/>
      <c r="E34" s="1"/>
      <c r="F34" s="15" t="b">
        <v>0</v>
      </c>
      <c r="G34" s="111"/>
      <c r="H34" s="94"/>
      <c r="I34" s="91"/>
      <c r="J34" s="91"/>
      <c r="K34" s="89" t="str">
        <f t="shared" si="5"/>
        <v/>
      </c>
      <c r="L34" s="1"/>
      <c r="M34" s="15"/>
      <c r="N34" s="91"/>
      <c r="O34" s="91"/>
      <c r="P34" s="46" t="str">
        <f t="shared" si="6"/>
        <v/>
      </c>
      <c r="Q34" s="1"/>
      <c r="R34" s="98" t="b">
        <v>0</v>
      </c>
      <c r="S34" s="90"/>
      <c r="T34" s="103"/>
      <c r="U34" s="99"/>
      <c r="V34" s="104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>
      <c r="A35" s="1"/>
      <c r="B35" s="15" t="s">
        <v>62</v>
      </c>
      <c r="C35" s="91"/>
      <c r="D35" s="92"/>
      <c r="E35" s="1"/>
      <c r="F35" s="15" t="b">
        <v>0</v>
      </c>
      <c r="G35" s="93"/>
      <c r="H35" s="94"/>
      <c r="I35" s="91"/>
      <c r="J35" s="91"/>
      <c r="K35" s="89" t="str">
        <f t="shared" si="5"/>
        <v/>
      </c>
      <c r="L35" s="1"/>
      <c r="M35" s="15"/>
      <c r="N35" s="91"/>
      <c r="O35" s="91"/>
      <c r="P35" s="46" t="str">
        <f t="shared" si="6"/>
        <v/>
      </c>
      <c r="Q35" s="1"/>
      <c r="R35" s="98" t="b">
        <v>0</v>
      </c>
      <c r="S35" s="90"/>
      <c r="T35" s="103"/>
      <c r="U35" s="99"/>
      <c r="V35" s="104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>
      <c r="A36" s="1"/>
      <c r="B36" s="15" t="s">
        <v>64</v>
      </c>
      <c r="C36" s="91"/>
      <c r="D36" s="92"/>
      <c r="E36" s="1"/>
      <c r="F36" s="15" t="b">
        <v>0</v>
      </c>
      <c r="G36" s="93"/>
      <c r="H36" s="94"/>
      <c r="I36" s="91"/>
      <c r="J36" s="91"/>
      <c r="K36" s="89" t="str">
        <f t="shared" si="5"/>
        <v/>
      </c>
      <c r="L36" s="1"/>
      <c r="M36" s="15"/>
      <c r="N36" s="91"/>
      <c r="O36" s="91"/>
      <c r="P36" s="46" t="str">
        <f t="shared" si="6"/>
        <v/>
      </c>
      <c r="Q36" s="1"/>
      <c r="R36" s="98" t="b">
        <v>0</v>
      </c>
      <c r="S36" s="90"/>
      <c r="T36" s="103"/>
      <c r="U36" s="99"/>
      <c r="V36" s="104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>
      <c r="A37" s="1"/>
      <c r="B37" s="15" t="s">
        <v>66</v>
      </c>
      <c r="C37" s="91"/>
      <c r="D37" s="92"/>
      <c r="E37" s="1"/>
      <c r="F37" s="98" t="b">
        <v>0</v>
      </c>
      <c r="G37" s="112"/>
      <c r="H37" s="103"/>
      <c r="I37" s="91"/>
      <c r="J37" s="91"/>
      <c r="K37" s="89"/>
      <c r="L37" s="1"/>
      <c r="M37" s="98"/>
      <c r="N37" s="99"/>
      <c r="O37" s="99"/>
      <c r="P37" s="46" t="str">
        <f t="shared" si="6"/>
        <v/>
      </c>
      <c r="Q37" s="1"/>
      <c r="R37" s="98" t="b">
        <v>0</v>
      </c>
      <c r="S37" s="90"/>
      <c r="T37" s="103"/>
      <c r="U37" s="99"/>
      <c r="V37" s="104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>
      <c r="A38" s="1"/>
      <c r="B38" s="15" t="s">
        <v>67</v>
      </c>
      <c r="C38" s="91"/>
      <c r="D38" s="92"/>
      <c r="E38" s="1"/>
      <c r="F38" s="98" t="b">
        <v>0</v>
      </c>
      <c r="G38" s="112"/>
      <c r="H38" s="103"/>
      <c r="I38" s="99"/>
      <c r="J38" s="91"/>
      <c r="K38" s="89" t="str">
        <f t="shared" ref="K38:K62" si="8">if(I38="",J38,(if(J38="","",I38-J38)))</f>
        <v/>
      </c>
      <c r="L38" s="1"/>
      <c r="M38" s="98"/>
      <c r="N38" s="91"/>
      <c r="O38" s="91"/>
      <c r="P38" s="46" t="str">
        <f t="shared" si="6"/>
        <v/>
      </c>
      <c r="Q38" s="1"/>
      <c r="R38" s="98" t="b">
        <v>0</v>
      </c>
      <c r="S38" s="90"/>
      <c r="T38" s="103"/>
      <c r="U38" s="99"/>
      <c r="V38" s="104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>
      <c r="A39" s="1"/>
      <c r="B39" s="113" t="s">
        <v>48</v>
      </c>
      <c r="C39" s="114">
        <f>SUM(C34:C38)</f>
        <v>0</v>
      </c>
      <c r="D39" s="115">
        <f>sum(D34:D38)</f>
        <v>0</v>
      </c>
      <c r="E39" s="1"/>
      <c r="F39" s="98" t="b">
        <v>0</v>
      </c>
      <c r="G39" s="112"/>
      <c r="H39" s="103"/>
      <c r="I39" s="99"/>
      <c r="J39" s="91"/>
      <c r="K39" s="89" t="str">
        <f t="shared" si="8"/>
        <v/>
      </c>
      <c r="L39" s="1"/>
      <c r="M39" s="98"/>
      <c r="N39" s="91"/>
      <c r="O39" s="91"/>
      <c r="P39" s="46" t="str">
        <f t="shared" si="6"/>
        <v/>
      </c>
      <c r="Q39" s="1"/>
      <c r="R39" s="98" t="b">
        <v>0</v>
      </c>
      <c r="S39" s="90"/>
      <c r="T39" s="103"/>
      <c r="U39" s="99"/>
      <c r="V39" s="104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>
      <c r="A40" s="1"/>
      <c r="B40" s="116"/>
      <c r="C40" s="116"/>
      <c r="D40" s="116"/>
      <c r="E40" s="1"/>
      <c r="F40" s="98" t="b">
        <v>0</v>
      </c>
      <c r="G40" s="112"/>
      <c r="H40" s="103"/>
      <c r="I40" s="99"/>
      <c r="J40" s="91"/>
      <c r="K40" s="89" t="str">
        <f t="shared" si="8"/>
        <v/>
      </c>
      <c r="L40" s="1"/>
      <c r="M40" s="98"/>
      <c r="N40" s="99"/>
      <c r="O40" s="99"/>
      <c r="P40" s="46" t="str">
        <f t="shared" si="6"/>
        <v/>
      </c>
      <c r="Q40" s="1"/>
      <c r="R40" s="98" t="b">
        <v>0</v>
      </c>
      <c r="S40" s="90"/>
      <c r="T40" s="103"/>
      <c r="U40" s="99"/>
      <c r="V40" s="104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>
      <c r="A41" s="1"/>
      <c r="B41" s="117" t="s">
        <v>68</v>
      </c>
      <c r="C41" s="4"/>
      <c r="D41" s="5"/>
      <c r="E41" s="1"/>
      <c r="F41" s="98" t="b">
        <v>0</v>
      </c>
      <c r="G41" s="112"/>
      <c r="H41" s="103"/>
      <c r="I41" s="99"/>
      <c r="J41" s="91"/>
      <c r="K41" s="89" t="str">
        <f t="shared" si="8"/>
        <v/>
      </c>
      <c r="L41" s="1"/>
      <c r="M41" s="98"/>
      <c r="N41" s="99"/>
      <c r="O41" s="99"/>
      <c r="P41" s="46" t="str">
        <f t="shared" si="6"/>
        <v/>
      </c>
      <c r="Q41" s="1"/>
      <c r="R41" s="98" t="b">
        <v>0</v>
      </c>
      <c r="S41" s="90"/>
      <c r="T41" s="103"/>
      <c r="U41" s="99"/>
      <c r="V41" s="104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>
      <c r="A42" s="1"/>
      <c r="B42" s="12"/>
      <c r="D42" s="13"/>
      <c r="E42" s="1"/>
      <c r="F42" s="98" t="b">
        <v>0</v>
      </c>
      <c r="G42" s="112"/>
      <c r="H42" s="103"/>
      <c r="I42" s="99"/>
      <c r="J42" s="99"/>
      <c r="K42" s="89" t="str">
        <f t="shared" si="8"/>
        <v/>
      </c>
      <c r="L42" s="1"/>
      <c r="M42" s="98"/>
      <c r="N42" s="91"/>
      <c r="O42" s="91"/>
      <c r="P42" s="46" t="str">
        <f t="shared" si="6"/>
        <v/>
      </c>
      <c r="Q42" s="1"/>
      <c r="R42" s="98" t="b">
        <v>0</v>
      </c>
      <c r="S42" s="90"/>
      <c r="T42" s="103"/>
      <c r="U42" s="99"/>
      <c r="V42" s="104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>
      <c r="A43" s="1"/>
      <c r="B43" s="118"/>
      <c r="C43" s="119" t="s">
        <v>15</v>
      </c>
      <c r="D43" s="120" t="s">
        <v>16</v>
      </c>
      <c r="E43" s="1"/>
      <c r="F43" s="98" t="b">
        <v>0</v>
      </c>
      <c r="G43" s="112"/>
      <c r="H43" s="103"/>
      <c r="I43" s="99"/>
      <c r="J43" s="91"/>
      <c r="K43" s="89" t="str">
        <f t="shared" si="8"/>
        <v/>
      </c>
      <c r="L43" s="1"/>
      <c r="M43" s="98"/>
      <c r="N43" s="91"/>
      <c r="O43" s="91"/>
      <c r="P43" s="46" t="str">
        <f t="shared" si="6"/>
        <v/>
      </c>
      <c r="Q43" s="1"/>
      <c r="R43" s="98" t="b">
        <v>0</v>
      </c>
      <c r="S43" s="90"/>
      <c r="T43" s="103"/>
      <c r="U43" s="99"/>
      <c r="V43" s="104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>
      <c r="A44" s="1"/>
      <c r="B44" s="44" t="s">
        <v>57</v>
      </c>
      <c r="C44" s="85"/>
      <c r="D44" s="86"/>
      <c r="E44" s="1"/>
      <c r="F44" s="98" t="b">
        <v>0</v>
      </c>
      <c r="G44" s="112"/>
      <c r="H44" s="103"/>
      <c r="I44" s="99"/>
      <c r="J44" s="91"/>
      <c r="K44" s="89" t="str">
        <f t="shared" si="8"/>
        <v/>
      </c>
      <c r="L44" s="1"/>
      <c r="M44" s="98"/>
      <c r="N44" s="99"/>
      <c r="O44" s="91"/>
      <c r="P44" s="46" t="str">
        <f t="shared" si="6"/>
        <v/>
      </c>
      <c r="Q44" s="1"/>
      <c r="R44" s="98" t="b">
        <v>0</v>
      </c>
      <c r="S44" s="90"/>
      <c r="T44" s="103"/>
      <c r="U44" s="99"/>
      <c r="V44" s="104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>
      <c r="A45" s="1"/>
      <c r="B45" s="15" t="s">
        <v>69</v>
      </c>
      <c r="C45" s="91"/>
      <c r="D45" s="92"/>
      <c r="E45" s="1"/>
      <c r="F45" s="98" t="b">
        <v>0</v>
      </c>
      <c r="G45" s="112"/>
      <c r="H45" s="103"/>
      <c r="I45" s="99"/>
      <c r="J45" s="99"/>
      <c r="K45" s="89" t="str">
        <f t="shared" si="8"/>
        <v/>
      </c>
      <c r="L45" s="1"/>
      <c r="M45" s="98"/>
      <c r="N45" s="99"/>
      <c r="O45" s="91"/>
      <c r="P45" s="46" t="str">
        <f t="shared" si="6"/>
        <v/>
      </c>
      <c r="Q45" s="1"/>
      <c r="R45" s="98" t="b">
        <v>0</v>
      </c>
      <c r="S45" s="90"/>
      <c r="T45" s="103"/>
      <c r="U45" s="99"/>
      <c r="V45" s="104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>
      <c r="A46" s="1"/>
      <c r="B46" s="15" t="s">
        <v>70</v>
      </c>
      <c r="C46" s="91"/>
      <c r="D46" s="92"/>
      <c r="E46" s="1"/>
      <c r="F46" s="98" t="b">
        <v>0</v>
      </c>
      <c r="G46" s="112"/>
      <c r="H46" s="103"/>
      <c r="I46" s="91"/>
      <c r="J46" s="91"/>
      <c r="K46" s="89" t="str">
        <f t="shared" si="8"/>
        <v/>
      </c>
      <c r="L46" s="1"/>
      <c r="M46" s="98"/>
      <c r="N46" s="99"/>
      <c r="O46" s="91"/>
      <c r="P46" s="46" t="str">
        <f t="shared" si="6"/>
        <v/>
      </c>
      <c r="Q46" s="1"/>
      <c r="R46" s="98" t="b">
        <v>0</v>
      </c>
      <c r="S46" s="90"/>
      <c r="T46" s="103"/>
      <c r="U46" s="99"/>
      <c r="V46" s="10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>
      <c r="A47" s="1"/>
      <c r="B47" s="15" t="s">
        <v>71</v>
      </c>
      <c r="C47" s="91"/>
      <c r="D47" s="92"/>
      <c r="E47" s="1"/>
      <c r="F47" s="15" t="b">
        <v>0</v>
      </c>
      <c r="G47" s="112"/>
      <c r="H47" s="103"/>
      <c r="I47" s="91"/>
      <c r="J47" s="91"/>
      <c r="K47" s="89" t="str">
        <f t="shared" si="8"/>
        <v/>
      </c>
      <c r="L47" s="1"/>
      <c r="M47" s="98"/>
      <c r="N47" s="99"/>
      <c r="O47" s="99"/>
      <c r="P47" s="46" t="str">
        <f t="shared" si="6"/>
        <v/>
      </c>
      <c r="Q47" s="1"/>
      <c r="R47" s="98" t="b">
        <v>0</v>
      </c>
      <c r="S47" s="90"/>
      <c r="T47" s="103"/>
      <c r="U47" s="99"/>
      <c r="V47" s="104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>
      <c r="A48" s="1"/>
      <c r="B48" s="15" t="s">
        <v>72</v>
      </c>
      <c r="C48" s="91"/>
      <c r="D48" s="92"/>
      <c r="E48" s="1"/>
      <c r="F48" s="15" t="b">
        <v>0</v>
      </c>
      <c r="G48" s="112"/>
      <c r="H48" s="103"/>
      <c r="I48" s="91"/>
      <c r="J48" s="91"/>
      <c r="K48" s="89" t="str">
        <f t="shared" si="8"/>
        <v/>
      </c>
      <c r="L48" s="1"/>
      <c r="M48" s="98"/>
      <c r="N48" s="99"/>
      <c r="O48" s="99"/>
      <c r="P48" s="46" t="str">
        <f t="shared" si="6"/>
        <v/>
      </c>
      <c r="Q48" s="1"/>
      <c r="R48" s="121" t="b">
        <v>0</v>
      </c>
      <c r="S48" s="122"/>
      <c r="T48" s="123"/>
      <c r="U48" s="124"/>
      <c r="V48" s="125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>
      <c r="A49" s="1"/>
      <c r="B49" s="15"/>
      <c r="C49" s="91"/>
      <c r="D49" s="92"/>
      <c r="E49" s="1"/>
      <c r="F49" s="15" t="b">
        <v>0</v>
      </c>
      <c r="G49" s="112"/>
      <c r="H49" s="103"/>
      <c r="I49" s="91"/>
      <c r="J49" s="91"/>
      <c r="K49" s="89" t="str">
        <f t="shared" si="8"/>
        <v/>
      </c>
      <c r="L49" s="1"/>
      <c r="M49" s="98"/>
      <c r="N49" s="99"/>
      <c r="O49" s="99"/>
      <c r="P49" s="46" t="str">
        <f t="shared" si="6"/>
        <v/>
      </c>
      <c r="Q49" s="1"/>
      <c r="R49" s="126"/>
      <c r="S49" s="127" t="s">
        <v>48</v>
      </c>
      <c r="T49" s="127"/>
      <c r="U49" s="128">
        <f>sum(U24:U48)</f>
        <v>0</v>
      </c>
      <c r="V49" s="129">
        <f>SUM(V24:V48)</f>
        <v>0</v>
      </c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>
      <c r="A50" s="1"/>
      <c r="B50" s="15"/>
      <c r="C50" s="91"/>
      <c r="D50" s="92"/>
      <c r="E50" s="1"/>
      <c r="F50" s="15" t="b">
        <v>0</v>
      </c>
      <c r="G50" s="112"/>
      <c r="H50" s="103"/>
      <c r="I50" s="91"/>
      <c r="J50" s="91"/>
      <c r="K50" s="89" t="str">
        <f t="shared" si="8"/>
        <v/>
      </c>
      <c r="M50" s="98"/>
      <c r="N50" s="99"/>
      <c r="O50" s="99"/>
      <c r="P50" s="46" t="str">
        <f t="shared" si="6"/>
        <v/>
      </c>
      <c r="R50" s="33"/>
      <c r="S50" s="33"/>
      <c r="T50" s="33"/>
      <c r="U50" s="33"/>
      <c r="V50" s="33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>
      <c r="A51" s="1"/>
      <c r="B51" s="15"/>
      <c r="C51" s="91"/>
      <c r="D51" s="92"/>
      <c r="E51" s="1"/>
      <c r="F51" s="15" t="b">
        <v>0</v>
      </c>
      <c r="G51" s="112"/>
      <c r="H51" s="103"/>
      <c r="I51" s="91"/>
      <c r="J51" s="91"/>
      <c r="K51" s="89" t="str">
        <f t="shared" si="8"/>
        <v/>
      </c>
      <c r="M51" s="98"/>
      <c r="N51" s="99"/>
      <c r="O51" s="99"/>
      <c r="P51" s="46" t="str">
        <f t="shared" si="6"/>
        <v/>
      </c>
      <c r="R51" s="130" t="s">
        <v>73</v>
      </c>
      <c r="S51" s="4"/>
      <c r="T51" s="4"/>
      <c r="U51" s="4"/>
      <c r="V51" s="5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>
      <c r="A52" s="1"/>
      <c r="B52" s="15"/>
      <c r="C52" s="91"/>
      <c r="D52" s="92"/>
      <c r="E52" s="1"/>
      <c r="F52" s="15" t="b">
        <v>0</v>
      </c>
      <c r="G52" s="112"/>
      <c r="H52" s="103"/>
      <c r="I52" s="91"/>
      <c r="J52" s="91"/>
      <c r="K52" s="89" t="str">
        <f t="shared" si="8"/>
        <v/>
      </c>
      <c r="M52" s="98"/>
      <c r="N52" s="99"/>
      <c r="O52" s="99"/>
      <c r="P52" s="46" t="str">
        <f t="shared" si="6"/>
        <v/>
      </c>
      <c r="R52" s="12"/>
      <c r="V52" s="13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>
      <c r="A53" s="1"/>
      <c r="B53" s="15"/>
      <c r="C53" s="91"/>
      <c r="D53" s="92"/>
      <c r="E53" s="1"/>
      <c r="F53" s="15" t="b">
        <v>0</v>
      </c>
      <c r="G53" s="112"/>
      <c r="H53" s="103"/>
      <c r="I53" s="91"/>
      <c r="J53" s="91"/>
      <c r="K53" s="89" t="str">
        <f t="shared" si="8"/>
        <v/>
      </c>
      <c r="M53" s="98"/>
      <c r="N53" s="99"/>
      <c r="O53" s="99"/>
      <c r="P53" s="46" t="str">
        <f t="shared" si="6"/>
        <v/>
      </c>
      <c r="R53" s="131"/>
      <c r="S53" s="10"/>
      <c r="T53" s="10"/>
      <c r="U53" s="10"/>
      <c r="V53" s="1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>
      <c r="A54" s="1"/>
      <c r="B54" s="15"/>
      <c r="C54" s="91"/>
      <c r="D54" s="92"/>
      <c r="E54" s="1"/>
      <c r="F54" s="15" t="b">
        <v>0</v>
      </c>
      <c r="G54" s="112"/>
      <c r="H54" s="103"/>
      <c r="I54" s="91"/>
      <c r="J54" s="91"/>
      <c r="K54" s="89" t="str">
        <f t="shared" si="8"/>
        <v/>
      </c>
      <c r="M54" s="98"/>
      <c r="N54" s="99"/>
      <c r="O54" s="99"/>
      <c r="P54" s="46" t="str">
        <f t="shared" si="6"/>
        <v/>
      </c>
      <c r="R54" s="132"/>
      <c r="S54" s="133"/>
      <c r="T54" s="133"/>
      <c r="U54" s="133"/>
      <c r="V54" s="17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>
      <c r="A55" s="1"/>
      <c r="B55" s="15"/>
      <c r="C55" s="91"/>
      <c r="D55" s="92"/>
      <c r="E55" s="1"/>
      <c r="F55" s="15" t="b">
        <v>0</v>
      </c>
      <c r="G55" s="112"/>
      <c r="H55" s="103"/>
      <c r="I55" s="91"/>
      <c r="J55" s="91"/>
      <c r="K55" s="89" t="str">
        <f t="shared" si="8"/>
        <v/>
      </c>
      <c r="M55" s="98"/>
      <c r="N55" s="99"/>
      <c r="O55" s="99"/>
      <c r="P55" s="46" t="str">
        <f t="shared" si="6"/>
        <v/>
      </c>
      <c r="R55" s="132"/>
      <c r="S55" s="133"/>
      <c r="T55" s="133"/>
      <c r="U55" s="133"/>
      <c r="V55" s="17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>
      <c r="A56" s="1"/>
      <c r="B56" s="15"/>
      <c r="C56" s="91"/>
      <c r="D56" s="92"/>
      <c r="E56" s="1"/>
      <c r="F56" s="15" t="b">
        <v>0</v>
      </c>
      <c r="G56" s="112"/>
      <c r="H56" s="103"/>
      <c r="I56" s="91"/>
      <c r="J56" s="91"/>
      <c r="K56" s="89" t="str">
        <f t="shared" si="8"/>
        <v/>
      </c>
      <c r="M56" s="98"/>
      <c r="N56" s="99"/>
      <c r="O56" s="99"/>
      <c r="P56" s="46" t="str">
        <f t="shared" si="6"/>
        <v/>
      </c>
      <c r="R56" s="134"/>
      <c r="S56" s="133"/>
      <c r="T56" s="133"/>
      <c r="U56" s="133"/>
      <c r="V56" s="17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>
      <c r="A57" s="1"/>
      <c r="B57" s="15"/>
      <c r="C57" s="91"/>
      <c r="D57" s="92"/>
      <c r="E57" s="1"/>
      <c r="F57" s="15" t="b">
        <v>0</v>
      </c>
      <c r="G57" s="112"/>
      <c r="H57" s="103"/>
      <c r="I57" s="91"/>
      <c r="J57" s="91"/>
      <c r="K57" s="89" t="str">
        <f t="shared" si="8"/>
        <v/>
      </c>
      <c r="M57" s="98"/>
      <c r="N57" s="99"/>
      <c r="O57" s="99"/>
      <c r="P57" s="46" t="str">
        <f t="shared" si="6"/>
        <v/>
      </c>
      <c r="R57" s="134"/>
      <c r="S57" s="133"/>
      <c r="T57" s="133"/>
      <c r="U57" s="133"/>
      <c r="V57" s="17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>
      <c r="A58" s="1"/>
      <c r="B58" s="15"/>
      <c r="C58" s="91"/>
      <c r="D58" s="92"/>
      <c r="E58" s="1"/>
      <c r="F58" s="15" t="b">
        <v>0</v>
      </c>
      <c r="G58" s="112"/>
      <c r="H58" s="103"/>
      <c r="I58" s="91"/>
      <c r="J58" s="91"/>
      <c r="K58" s="89" t="str">
        <f t="shared" si="8"/>
        <v/>
      </c>
      <c r="M58" s="98"/>
      <c r="N58" s="99"/>
      <c r="O58" s="99"/>
      <c r="P58" s="46" t="str">
        <f t="shared" si="6"/>
        <v/>
      </c>
      <c r="R58" s="134"/>
      <c r="S58" s="133"/>
      <c r="T58" s="133"/>
      <c r="U58" s="133"/>
      <c r="V58" s="17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>
      <c r="A59" s="1"/>
      <c r="B59" s="15"/>
      <c r="C59" s="91"/>
      <c r="D59" s="92"/>
      <c r="E59" s="1"/>
      <c r="F59" s="15" t="b">
        <v>0</v>
      </c>
      <c r="G59" s="112"/>
      <c r="H59" s="103"/>
      <c r="I59" s="91"/>
      <c r="J59" s="91"/>
      <c r="K59" s="89" t="str">
        <f t="shared" si="8"/>
        <v/>
      </c>
      <c r="M59" s="98"/>
      <c r="N59" s="99"/>
      <c r="O59" s="99"/>
      <c r="P59" s="46" t="str">
        <f t="shared" si="6"/>
        <v/>
      </c>
      <c r="R59" s="134"/>
      <c r="S59" s="133"/>
      <c r="T59" s="133"/>
      <c r="U59" s="133"/>
      <c r="V59" s="17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>
      <c r="A60" s="1"/>
      <c r="B60" s="15"/>
      <c r="C60" s="91"/>
      <c r="D60" s="92"/>
      <c r="E60" s="1"/>
      <c r="F60" s="15" t="b">
        <v>0</v>
      </c>
      <c r="G60" s="112"/>
      <c r="H60" s="103"/>
      <c r="I60" s="91"/>
      <c r="J60" s="91"/>
      <c r="K60" s="89" t="str">
        <f t="shared" si="8"/>
        <v/>
      </c>
      <c r="M60" s="98"/>
      <c r="N60" s="99"/>
      <c r="O60" s="99"/>
      <c r="P60" s="46" t="str">
        <f t="shared" si="6"/>
        <v/>
      </c>
      <c r="R60" s="134"/>
      <c r="S60" s="133"/>
      <c r="T60" s="133"/>
      <c r="U60" s="133"/>
      <c r="V60" s="17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>
      <c r="A61" s="1"/>
      <c r="B61" s="15"/>
      <c r="C61" s="91"/>
      <c r="D61" s="92"/>
      <c r="E61" s="1"/>
      <c r="F61" s="15" t="b">
        <v>0</v>
      </c>
      <c r="G61" s="112"/>
      <c r="H61" s="103"/>
      <c r="I61" s="91"/>
      <c r="J61" s="91"/>
      <c r="K61" s="89" t="str">
        <f t="shared" si="8"/>
        <v/>
      </c>
      <c r="M61" s="98"/>
      <c r="N61" s="99"/>
      <c r="O61" s="99"/>
      <c r="P61" s="46" t="str">
        <f t="shared" si="6"/>
        <v/>
      </c>
      <c r="R61" s="134"/>
      <c r="S61" s="133"/>
      <c r="T61" s="133"/>
      <c r="U61" s="133"/>
      <c r="V61" s="17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>
      <c r="A62" s="1"/>
      <c r="B62" s="15"/>
      <c r="C62" s="91"/>
      <c r="D62" s="92"/>
      <c r="E62" s="1"/>
      <c r="F62" s="15" t="b">
        <v>0</v>
      </c>
      <c r="G62" s="112"/>
      <c r="H62" s="103"/>
      <c r="I62" s="91"/>
      <c r="J62" s="91"/>
      <c r="K62" s="89" t="str">
        <f t="shared" si="8"/>
        <v/>
      </c>
      <c r="M62" s="98"/>
      <c r="N62" s="99"/>
      <c r="O62" s="99"/>
      <c r="P62" s="46" t="str">
        <f t="shared" si="6"/>
        <v/>
      </c>
      <c r="R62" s="134"/>
      <c r="S62" s="133"/>
      <c r="T62" s="133"/>
      <c r="U62" s="133"/>
      <c r="V62" s="17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>
      <c r="A63" s="1"/>
      <c r="B63" s="135" t="s">
        <v>48</v>
      </c>
      <c r="C63" s="136">
        <f t="shared" ref="C63:D63" si="9">SUM(C44:C62)</f>
        <v>0</v>
      </c>
      <c r="D63" s="137">
        <f t="shared" si="9"/>
        <v>0</v>
      </c>
      <c r="E63" s="1"/>
      <c r="F63" s="138"/>
      <c r="G63" s="139" t="s">
        <v>48</v>
      </c>
      <c r="H63" s="140"/>
      <c r="I63" s="141">
        <f t="shared" ref="I63:J63" si="10">SUM(I24:I62)</f>
        <v>0</v>
      </c>
      <c r="J63" s="141">
        <f t="shared" si="10"/>
        <v>0</v>
      </c>
      <c r="K63" s="142">
        <f>sum(K24:K62)</f>
        <v>0</v>
      </c>
      <c r="L63" s="1"/>
      <c r="M63" s="143" t="s">
        <v>48</v>
      </c>
      <c r="N63" s="144">
        <f t="shared" ref="N63:P63" si="11">SUM(N24:N62)</f>
        <v>0</v>
      </c>
      <c r="O63" s="144">
        <f t="shared" si="11"/>
        <v>0</v>
      </c>
      <c r="P63" s="145">
        <f t="shared" si="11"/>
        <v>0</v>
      </c>
      <c r="Q63" s="1"/>
      <c r="R63" s="146"/>
      <c r="S63" s="147"/>
      <c r="T63" s="147"/>
      <c r="U63" s="147"/>
      <c r="V63" s="24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>
      <c r="A64" s="1"/>
      <c r="B64" s="1"/>
      <c r="C64" s="1"/>
      <c r="D64" s="1"/>
      <c r="E64" s="1"/>
      <c r="F64" s="1"/>
      <c r="G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>
      <c r="A65" s="1"/>
      <c r="B65" s="1"/>
      <c r="C65" s="1"/>
      <c r="D65" s="1"/>
      <c r="E65" s="1"/>
      <c r="F65" s="1"/>
      <c r="G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>
      <c r="A66" s="1"/>
      <c r="B66" s="1"/>
      <c r="C66" s="1"/>
      <c r="D66" s="1"/>
      <c r="E66" s="1"/>
      <c r="F66" s="1"/>
      <c r="G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>
      <c r="A67" s="1"/>
      <c r="B67" s="1"/>
      <c r="C67" s="1"/>
      <c r="D67" s="1"/>
      <c r="E67" s="1"/>
      <c r="F67" s="1"/>
      <c r="G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>
      <c r="A68" s="1"/>
      <c r="B68" s="1"/>
      <c r="C68" s="1"/>
      <c r="D68" s="1"/>
      <c r="E68" s="1"/>
      <c r="F68" s="1"/>
      <c r="G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>
      <c r="A69" s="1"/>
      <c r="B69" s="1"/>
      <c r="C69" s="1"/>
      <c r="D69" s="1"/>
      <c r="E69" s="1"/>
      <c r="F69" s="1"/>
      <c r="G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>
      <c r="A70" s="1"/>
      <c r="B70" s="1"/>
      <c r="C70" s="1"/>
      <c r="D70" s="1"/>
      <c r="E70" s="1"/>
      <c r="F70" s="1"/>
      <c r="G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>
      <c r="A71" s="1"/>
      <c r="B71" s="1"/>
      <c r="C71" s="1"/>
      <c r="D71" s="1"/>
      <c r="E71" s="1"/>
      <c r="F71" s="1"/>
      <c r="G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>
      <c r="A72" s="1"/>
      <c r="B72" s="1"/>
      <c r="C72" s="1"/>
      <c r="D72" s="1"/>
      <c r="E72" s="1"/>
      <c r="F72" s="1"/>
      <c r="G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>
      <c r="A73" s="1"/>
      <c r="B73" s="1"/>
      <c r="C73" s="1"/>
      <c r="D73" s="1"/>
      <c r="E73" s="1"/>
      <c r="F73" s="1"/>
      <c r="G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>
      <c r="A74" s="1"/>
      <c r="B74" s="1"/>
      <c r="C74" s="1"/>
      <c r="D74" s="1"/>
      <c r="E74" s="1"/>
      <c r="F74" s="1"/>
      <c r="G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>
      <c r="A75" s="1"/>
      <c r="B75" s="1"/>
      <c r="C75" s="1"/>
      <c r="D75" s="1"/>
      <c r="E75" s="1"/>
      <c r="F75" s="1"/>
      <c r="G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>
      <c r="A76" s="1"/>
      <c r="B76" s="1"/>
      <c r="C76" s="1"/>
      <c r="D76" s="1"/>
      <c r="E76" s="1"/>
      <c r="F76" s="1"/>
      <c r="G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>
      <c r="A77" s="1"/>
      <c r="B77" s="1"/>
      <c r="C77" s="1"/>
      <c r="D77" s="1"/>
      <c r="E77" s="1"/>
      <c r="F77" s="1"/>
      <c r="G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>
      <c r="A78" s="1"/>
      <c r="B78" s="1"/>
      <c r="C78" s="1"/>
      <c r="D78" s="1"/>
      <c r="E78" s="1"/>
      <c r="F78" s="1"/>
      <c r="G78" s="1"/>
      <c r="H78" s="189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</row>
  </sheetData>
  <mergeCells count="35">
    <mergeCell ref="B4:D5"/>
    <mergeCell ref="J4:M6"/>
    <mergeCell ref="N4:P6"/>
    <mergeCell ref="Q4:T6"/>
    <mergeCell ref="U4:V6"/>
    <mergeCell ref="C6:D6"/>
    <mergeCell ref="C7:D7"/>
    <mergeCell ref="F4:I6"/>
    <mergeCell ref="F7:I9"/>
    <mergeCell ref="J7:M9"/>
    <mergeCell ref="N7:P9"/>
    <mergeCell ref="Q7:T9"/>
    <mergeCell ref="U7:V9"/>
    <mergeCell ref="C8:D8"/>
    <mergeCell ref="C9:D9"/>
    <mergeCell ref="B11:D12"/>
    <mergeCell ref="I15:I16"/>
    <mergeCell ref="B21:D22"/>
    <mergeCell ref="F21:J22"/>
    <mergeCell ref="M21:P22"/>
    <mergeCell ref="R21:V22"/>
    <mergeCell ref="R57:V57"/>
    <mergeCell ref="R58:V58"/>
    <mergeCell ref="R59:V59"/>
    <mergeCell ref="R60:V60"/>
    <mergeCell ref="R61:V61"/>
    <mergeCell ref="R62:V62"/>
    <mergeCell ref="R63:V63"/>
    <mergeCell ref="B31:D32"/>
    <mergeCell ref="B41:D42"/>
    <mergeCell ref="R51:V52"/>
    <mergeCell ref="R53:V53"/>
    <mergeCell ref="R54:V54"/>
    <mergeCell ref="R55:V55"/>
    <mergeCell ref="R56:V56"/>
  </mergeCells>
  <conditionalFormatting sqref="K24:K62">
    <cfRule type="cellIs" dxfId="0" priority="1" operator="greaterThan">
      <formula>0</formula>
    </cfRule>
  </conditionalFormatting>
  <conditionalFormatting sqref="K24:K62">
    <cfRule type="cellIs" dxfId="1" priority="2" operator="lessThan">
      <formula>0</formula>
    </cfRule>
  </conditionalFormatting>
  <conditionalFormatting sqref="P24:P62">
    <cfRule type="cellIs" dxfId="0" priority="3" operator="greaterThan">
      <formula>0</formula>
    </cfRule>
  </conditionalFormatting>
  <conditionalFormatting sqref="P24:P62">
    <cfRule type="cellIs" dxfId="1" priority="4" operator="lessThan">
      <formula>0</formula>
    </cfRule>
  </conditionalFormatting>
  <conditionalFormatting sqref="P24:P62">
    <cfRule type="cellIs" dxfId="2" priority="5" operator="equal">
      <formula>0</formula>
    </cfRule>
  </conditionalFormatting>
  <conditionalFormatting sqref="K24:K62">
    <cfRule type="cellIs" dxfId="2" priority="6" operator="equal">
      <formula>0</formula>
    </cfRule>
  </conditionalFormatting>
  <conditionalFormatting sqref="K63">
    <cfRule type="cellIs" dxfId="3" priority="7" operator="greaterThan">
      <formula>0</formula>
    </cfRule>
  </conditionalFormatting>
  <conditionalFormatting sqref="K63">
    <cfRule type="cellIs" dxfId="4" priority="8" operator="lessThan">
      <formula>0</formula>
    </cfRule>
  </conditionalFormatting>
  <conditionalFormatting sqref="P63">
    <cfRule type="cellIs" dxfId="3" priority="9" operator="greaterThan">
      <formula>0</formula>
    </cfRule>
  </conditionalFormatting>
  <conditionalFormatting sqref="K63">
    <cfRule type="cellIs" dxfId="5" priority="10" operator="equal">
      <formula>0</formula>
    </cfRule>
  </conditionalFormatting>
  <dataValidations>
    <dataValidation type="list" allowBlank="1" showErrorMessage="1" sqref="T24:T27 T29:T48 H24:H62">
      <formula1>setting!$A$2:$A$32</formula1>
    </dataValidation>
    <dataValidation type="list" allowBlank="1" showErrorMessage="1" sqref="T28">
      <formula1>setting!$A$2:$A$33</formula1>
    </dataValidation>
    <dataValidation type="list" allowBlank="1" showErrorMessage="1" sqref="C8">
      <formula1>"$,£,€,¥,₽,₩,R$"</formula1>
    </dataValidation>
    <dataValidation type="custom" allowBlank="1" showDropDown="1" sqref="C7">
      <formula1>OR(NOT(ISERROR(DATEVALUE(C7))), AND(ISNUMBER(C7), LEFT(CELL("format", C7))="D"))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15.0"/>
    <col customWidth="1" min="5" max="5" width="1.38"/>
    <col customWidth="1" min="6" max="6" width="3.38"/>
    <col customWidth="1" min="7" max="7" width="15.5"/>
    <col customWidth="1" min="8" max="8" width="7.0"/>
    <col customWidth="1" min="12" max="12" width="2.63"/>
    <col customWidth="1" min="13" max="13" width="15.13"/>
    <col customWidth="1" min="17" max="17" width="2.63"/>
    <col customWidth="1" min="18" max="18" width="3.13"/>
    <col customWidth="1" min="19" max="19" width="13.25"/>
    <col customWidth="1" min="20" max="20" width="5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40.5" customHeight="1">
      <c r="A2" s="1"/>
      <c r="B2" s="1"/>
      <c r="C2" s="2" t="s">
        <v>91</v>
      </c>
      <c r="D2" s="1"/>
      <c r="E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ht="5.25" customHeight="1">
      <c r="A3" s="1"/>
      <c r="B3" s="1"/>
      <c r="C3" s="1"/>
      <c r="D3" s="1"/>
      <c r="E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>
      <c r="A4" s="1"/>
      <c r="B4" s="3" t="s">
        <v>1</v>
      </c>
      <c r="C4" s="4"/>
      <c r="D4" s="5"/>
      <c r="E4" s="1"/>
      <c r="F4" s="6" t="s">
        <v>2</v>
      </c>
      <c r="G4" s="4"/>
      <c r="H4" s="4"/>
      <c r="I4" s="4"/>
      <c r="J4" s="7" t="s">
        <v>3</v>
      </c>
      <c r="K4" s="4"/>
      <c r="L4" s="4"/>
      <c r="M4" s="4"/>
      <c r="N4" s="7" t="s">
        <v>4</v>
      </c>
      <c r="O4" s="4"/>
      <c r="P4" s="4"/>
      <c r="Q4" s="8" t="s">
        <v>5</v>
      </c>
      <c r="R4" s="4"/>
      <c r="S4" s="4"/>
      <c r="T4" s="4"/>
      <c r="U4" s="7" t="s">
        <v>6</v>
      </c>
      <c r="V4" s="5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>
      <c r="A5" s="1"/>
      <c r="B5" s="9"/>
      <c r="C5" s="10"/>
      <c r="D5" s="11"/>
      <c r="E5" s="1"/>
      <c r="F5" s="12"/>
      <c r="V5" s="13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>
      <c r="A6" s="1"/>
      <c r="B6" s="15" t="s">
        <v>7</v>
      </c>
      <c r="C6" s="16">
        <v>45809.0</v>
      </c>
      <c r="D6" s="17"/>
      <c r="E6" s="1"/>
      <c r="F6" s="12"/>
      <c r="V6" s="13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>
      <c r="A7" s="1"/>
      <c r="B7" s="15" t="s">
        <v>8</v>
      </c>
      <c r="C7" s="16">
        <v>45838.0</v>
      </c>
      <c r="D7" s="17"/>
      <c r="E7" s="1"/>
      <c r="F7" s="18">
        <f>D15</f>
        <v>0</v>
      </c>
      <c r="J7" s="19">
        <f>D19</f>
        <v>0</v>
      </c>
      <c r="N7" s="20">
        <f>D17</f>
        <v>0</v>
      </c>
      <c r="Q7" s="19">
        <f>D18</f>
        <v>0</v>
      </c>
      <c r="U7" s="19">
        <f>D16</f>
        <v>0</v>
      </c>
      <c r="V7" s="13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>
      <c r="A8" s="1"/>
      <c r="B8" s="15" t="s">
        <v>9</v>
      </c>
      <c r="C8" s="21" t="s">
        <v>10</v>
      </c>
      <c r="D8" s="17"/>
      <c r="E8" s="1"/>
      <c r="F8" s="12"/>
      <c r="V8" s="13"/>
      <c r="W8" s="1"/>
      <c r="X8" s="1"/>
      <c r="Y8" s="1"/>
      <c r="AA8" s="1"/>
      <c r="AB8" s="1"/>
      <c r="AC8" s="1"/>
      <c r="AD8" s="1"/>
      <c r="AE8" s="1"/>
      <c r="AF8" s="1"/>
      <c r="AG8" s="1"/>
    </row>
    <row r="9">
      <c r="A9" s="1"/>
      <c r="B9" s="22" t="s">
        <v>11</v>
      </c>
      <c r="C9" s="23">
        <f>May!J7</f>
        <v>0</v>
      </c>
      <c r="D9" s="24"/>
      <c r="E9" s="1"/>
      <c r="F9" s="25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7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>
      <c r="A10" s="1"/>
      <c r="B10" s="28" t="s">
        <v>12</v>
      </c>
      <c r="C10" s="29">
        <f>D16+D17+D18</f>
        <v>0</v>
      </c>
      <c r="D10" s="29">
        <f>D19</f>
        <v>0</v>
      </c>
      <c r="E10" s="1"/>
      <c r="W10" s="1"/>
      <c r="X10" s="1"/>
      <c r="Y10" s="1"/>
      <c r="Z10" s="1"/>
      <c r="AA10" s="1"/>
      <c r="AB10" s="1"/>
      <c r="AC10" s="30"/>
      <c r="AD10" s="30"/>
      <c r="AE10" s="30"/>
      <c r="AF10" s="30"/>
      <c r="AG10" s="1"/>
    </row>
    <row r="11">
      <c r="A11" s="1"/>
      <c r="B11" s="31" t="s">
        <v>13</v>
      </c>
      <c r="C11" s="4"/>
      <c r="D11" s="5"/>
      <c r="E11" s="1"/>
      <c r="F11" s="32"/>
      <c r="G11" s="33"/>
      <c r="H11" s="33"/>
      <c r="I11" s="33"/>
      <c r="J11" s="33"/>
      <c r="K11" s="34"/>
      <c r="M11" s="32"/>
      <c r="N11" s="33"/>
      <c r="O11" s="33"/>
      <c r="P11" s="34"/>
      <c r="R11" s="32"/>
      <c r="S11" s="33"/>
      <c r="T11" s="33"/>
      <c r="U11" s="33"/>
      <c r="V11" s="34"/>
      <c r="W11" s="1"/>
      <c r="X11" s="1"/>
      <c r="Y11" s="1"/>
      <c r="Z11" s="1"/>
      <c r="AA11" s="1"/>
      <c r="AB11" s="1"/>
      <c r="AC11" s="30"/>
      <c r="AD11" s="30"/>
      <c r="AE11" s="30"/>
      <c r="AF11" s="30"/>
      <c r="AG11" s="1"/>
    </row>
    <row r="12">
      <c r="A12" s="1"/>
      <c r="B12" s="12"/>
      <c r="D12" s="13"/>
      <c r="E12" s="1"/>
      <c r="F12" s="35"/>
      <c r="G12" s="36"/>
      <c r="H12" s="36"/>
      <c r="I12" s="36"/>
      <c r="J12" s="36"/>
      <c r="K12" s="37"/>
      <c r="L12" s="1"/>
      <c r="M12" s="38"/>
      <c r="N12" s="1"/>
      <c r="O12" s="1"/>
      <c r="P12" s="39"/>
      <c r="Q12" s="1"/>
      <c r="R12" s="38"/>
      <c r="S12" s="1"/>
      <c r="T12" s="1"/>
      <c r="U12" s="1"/>
      <c r="V12" s="39"/>
      <c r="W12" s="1"/>
      <c r="X12" s="1"/>
      <c r="Y12" s="1"/>
      <c r="Z12" s="1"/>
      <c r="AA12" s="1"/>
      <c r="AB12" s="1"/>
      <c r="AC12" s="30"/>
      <c r="AD12" s="28" t="s">
        <v>14</v>
      </c>
      <c r="AE12" s="29">
        <f>V49</f>
        <v>0</v>
      </c>
      <c r="AF12" s="30"/>
      <c r="AG12" s="1"/>
    </row>
    <row r="13">
      <c r="A13" s="1"/>
      <c r="B13" s="40"/>
      <c r="C13" s="41" t="s">
        <v>15</v>
      </c>
      <c r="D13" s="42" t="s">
        <v>16</v>
      </c>
      <c r="E13" s="1"/>
      <c r="F13" s="43"/>
      <c r="G13" s="36"/>
      <c r="H13" s="36"/>
      <c r="I13" s="36"/>
      <c r="J13" s="36"/>
      <c r="K13" s="37"/>
      <c r="L13" s="1"/>
      <c r="M13" s="38"/>
      <c r="N13" s="1"/>
      <c r="O13" s="1"/>
      <c r="P13" s="39"/>
      <c r="Q13" s="1"/>
      <c r="R13" s="38"/>
      <c r="S13" s="1"/>
      <c r="T13" s="1"/>
      <c r="U13" s="1"/>
      <c r="V13" s="39"/>
      <c r="W13" s="1"/>
      <c r="X13" s="1"/>
      <c r="Y13" s="1"/>
      <c r="Z13" s="1"/>
      <c r="AA13" s="1"/>
      <c r="AB13" s="1"/>
      <c r="AC13" s="30"/>
      <c r="AD13" s="28" t="s">
        <v>17</v>
      </c>
      <c r="AE13" s="29">
        <f>J63</f>
        <v>0</v>
      </c>
      <c r="AF13" s="30"/>
      <c r="AG13" s="1"/>
    </row>
    <row r="14">
      <c r="A14" s="1"/>
      <c r="B14" s="44" t="s">
        <v>11</v>
      </c>
      <c r="C14" s="45">
        <f>C9</f>
        <v>0</v>
      </c>
      <c r="D14" s="46">
        <f>C9</f>
        <v>0</v>
      </c>
      <c r="E14" s="47" t="s">
        <v>18</v>
      </c>
      <c r="F14" s="43"/>
      <c r="G14" s="36"/>
      <c r="H14" s="36"/>
      <c r="I14" s="36"/>
      <c r="J14" s="36"/>
      <c r="K14" s="37"/>
      <c r="L14" s="1"/>
      <c r="M14" s="38"/>
      <c r="N14" s="1"/>
      <c r="O14" s="1"/>
      <c r="P14" s="39"/>
      <c r="Q14" s="1"/>
      <c r="R14" s="38"/>
      <c r="S14" s="1"/>
      <c r="T14" s="1"/>
      <c r="U14" s="1"/>
      <c r="V14" s="39"/>
      <c r="W14" s="1"/>
      <c r="X14" s="1"/>
      <c r="Y14" s="1"/>
      <c r="Z14" s="1"/>
      <c r="AA14" s="1"/>
      <c r="AB14" s="1"/>
      <c r="AC14" s="30"/>
      <c r="AD14" s="28" t="s">
        <v>19</v>
      </c>
      <c r="AE14" s="48">
        <f>O63</f>
        <v>0</v>
      </c>
      <c r="AF14" s="30"/>
      <c r="AG14" s="1"/>
    </row>
    <row r="15">
      <c r="A15" s="1"/>
      <c r="B15" s="15" t="s">
        <v>20</v>
      </c>
      <c r="C15" s="49">
        <f t="shared" ref="C15:D15" si="1">C29+C39</f>
        <v>0</v>
      </c>
      <c r="D15" s="50">
        <f t="shared" si="1"/>
        <v>0</v>
      </c>
      <c r="E15" s="1"/>
      <c r="F15" s="43"/>
      <c r="G15" s="51"/>
      <c r="H15" s="51"/>
      <c r="I15" s="52">
        <f>D19</f>
        <v>0</v>
      </c>
      <c r="J15" s="51"/>
      <c r="K15" s="37"/>
      <c r="L15" s="1"/>
      <c r="M15" s="38"/>
      <c r="N15" s="1"/>
      <c r="O15" s="1"/>
      <c r="P15" s="39"/>
      <c r="Q15" s="1"/>
      <c r="R15" s="38"/>
      <c r="S15" s="1"/>
      <c r="T15" s="1"/>
      <c r="U15" s="1"/>
      <c r="V15" s="39"/>
      <c r="W15" s="1"/>
      <c r="X15" s="1"/>
      <c r="Y15" s="1"/>
      <c r="Z15" s="1"/>
      <c r="AA15" s="1"/>
      <c r="AB15" s="1"/>
      <c r="AC15" s="30"/>
      <c r="AD15" s="28" t="s">
        <v>21</v>
      </c>
      <c r="AE15" s="29">
        <f>D63</f>
        <v>0</v>
      </c>
      <c r="AF15" s="30"/>
      <c r="AG15" s="1"/>
    </row>
    <row r="16">
      <c r="A16" s="1"/>
      <c r="B16" s="15" t="s">
        <v>6</v>
      </c>
      <c r="C16" s="49">
        <f t="shared" ref="C16:D16" si="2">C63</f>
        <v>0</v>
      </c>
      <c r="D16" s="50">
        <f t="shared" si="2"/>
        <v>0</v>
      </c>
      <c r="E16" s="1"/>
      <c r="F16" s="43"/>
      <c r="G16" s="51"/>
      <c r="H16" s="51"/>
      <c r="J16" s="51"/>
      <c r="K16" s="37"/>
      <c r="L16" s="1"/>
      <c r="M16" s="38"/>
      <c r="N16" s="1"/>
      <c r="O16" s="1"/>
      <c r="P16" s="39"/>
      <c r="Q16" s="1"/>
      <c r="R16" s="38"/>
      <c r="S16" s="1"/>
      <c r="T16" s="1"/>
      <c r="U16" s="1"/>
      <c r="V16" s="39"/>
      <c r="W16" s="1"/>
      <c r="X16" s="1"/>
      <c r="Y16" s="1"/>
      <c r="Z16" s="1"/>
      <c r="AA16" s="1"/>
      <c r="AB16" s="1"/>
      <c r="AC16" s="30"/>
      <c r="AD16" s="30"/>
      <c r="AE16" s="30"/>
      <c r="AF16" s="30"/>
      <c r="AG16" s="1"/>
    </row>
    <row r="17">
      <c r="A17" s="1"/>
      <c r="B17" s="15" t="s">
        <v>4</v>
      </c>
      <c r="C17" s="49">
        <f t="shared" ref="C17:D17" si="3">I63+N63</f>
        <v>0</v>
      </c>
      <c r="D17" s="50">
        <f t="shared" si="3"/>
        <v>0</v>
      </c>
      <c r="E17" s="1"/>
      <c r="F17" s="43"/>
      <c r="G17" s="36"/>
      <c r="H17" s="36"/>
      <c r="I17" s="36"/>
      <c r="J17" s="36"/>
      <c r="K17" s="37"/>
      <c r="L17" s="1"/>
      <c r="M17" s="38"/>
      <c r="N17" s="1"/>
      <c r="O17" s="1"/>
      <c r="P17" s="39"/>
      <c r="Q17" s="1"/>
      <c r="R17" s="38"/>
      <c r="S17" s="1"/>
      <c r="T17" s="1"/>
      <c r="U17" s="1"/>
      <c r="V17" s="39"/>
      <c r="W17" s="1"/>
      <c r="X17" s="1"/>
      <c r="Y17" s="1"/>
      <c r="Z17" s="1"/>
      <c r="AA17" s="1"/>
      <c r="AB17" s="1"/>
      <c r="AC17" s="30"/>
      <c r="AD17" s="30"/>
      <c r="AE17" s="30"/>
      <c r="AF17" s="30"/>
      <c r="AG17" s="1"/>
    </row>
    <row r="18">
      <c r="A18" s="1"/>
      <c r="B18" s="53" t="s">
        <v>22</v>
      </c>
      <c r="C18" s="54">
        <f t="shared" ref="C18:D18" si="4">U49</f>
        <v>0</v>
      </c>
      <c r="D18" s="55">
        <f t="shared" si="4"/>
        <v>0</v>
      </c>
      <c r="E18" s="1"/>
      <c r="F18" s="43"/>
      <c r="G18" s="36"/>
      <c r="H18" s="36"/>
      <c r="I18" s="36"/>
      <c r="J18" s="36"/>
      <c r="K18" s="37"/>
      <c r="L18" s="1"/>
      <c r="M18" s="38"/>
      <c r="N18" s="1"/>
      <c r="O18" s="1"/>
      <c r="P18" s="39"/>
      <c r="Q18" s="1"/>
      <c r="R18" s="38"/>
      <c r="S18" s="1"/>
      <c r="T18" s="1"/>
      <c r="U18" s="1"/>
      <c r="V18" s="39"/>
      <c r="W18" s="1"/>
      <c r="X18" s="1"/>
      <c r="Y18" s="1"/>
      <c r="Z18" s="1"/>
      <c r="AA18" s="1"/>
      <c r="AB18" s="1"/>
      <c r="AC18" s="30"/>
      <c r="AD18" s="30"/>
      <c r="AE18" s="30"/>
      <c r="AF18" s="30"/>
      <c r="AG18" s="1"/>
    </row>
    <row r="19">
      <c r="A19" s="1"/>
      <c r="B19" s="56" t="s">
        <v>23</v>
      </c>
      <c r="C19" s="57">
        <f>C14+C15-C16-C17-C18</f>
        <v>0</v>
      </c>
      <c r="D19" s="58">
        <f>D14+D15-D17-D18-D16</f>
        <v>0</v>
      </c>
      <c r="E19" s="1"/>
      <c r="F19" s="59"/>
      <c r="G19" s="60"/>
      <c r="H19" s="60"/>
      <c r="I19" s="60"/>
      <c r="J19" s="60"/>
      <c r="K19" s="61"/>
      <c r="L19" s="1"/>
      <c r="M19" s="62"/>
      <c r="N19" s="63"/>
      <c r="O19" s="63"/>
      <c r="P19" s="64"/>
      <c r="Q19" s="1"/>
      <c r="R19" s="62"/>
      <c r="S19" s="63"/>
      <c r="T19" s="63"/>
      <c r="U19" s="63"/>
      <c r="V19" s="64"/>
      <c r="W19" s="1"/>
      <c r="X19" s="1"/>
      <c r="Y19" s="1"/>
      <c r="Z19" s="1"/>
      <c r="AA19" s="1"/>
      <c r="AB19" s="1"/>
      <c r="AC19" s="30"/>
      <c r="AD19" s="30"/>
      <c r="AE19" s="30"/>
      <c r="AF19" s="30"/>
      <c r="AG19" s="1"/>
    </row>
    <row r="20">
      <c r="A20" s="1"/>
      <c r="B20" s="65"/>
      <c r="C20" s="66"/>
      <c r="D20" s="15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30"/>
      <c r="AD20" s="30"/>
      <c r="AE20" s="30"/>
      <c r="AF20" s="30"/>
      <c r="AG20" s="1"/>
    </row>
    <row r="21">
      <c r="A21" s="1"/>
      <c r="B21" s="67" t="s">
        <v>24</v>
      </c>
      <c r="C21" s="4"/>
      <c r="D21" s="5"/>
      <c r="E21" s="1"/>
      <c r="F21" s="68" t="s">
        <v>25</v>
      </c>
      <c r="G21" s="4"/>
      <c r="H21" s="4"/>
      <c r="I21" s="4"/>
      <c r="J21" s="4"/>
      <c r="K21" s="69"/>
      <c r="L21" s="1"/>
      <c r="M21" s="70" t="s">
        <v>26</v>
      </c>
      <c r="N21" s="4"/>
      <c r="O21" s="4"/>
      <c r="P21" s="5"/>
      <c r="Q21" s="1"/>
      <c r="R21" s="71" t="s">
        <v>22</v>
      </c>
      <c r="S21" s="4"/>
      <c r="T21" s="4"/>
      <c r="U21" s="4"/>
      <c r="V21" s="5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>
      <c r="A22" s="1"/>
      <c r="B22" s="12"/>
      <c r="D22" s="13"/>
      <c r="E22" s="1"/>
      <c r="F22" s="25"/>
      <c r="G22" s="26"/>
      <c r="H22" s="26"/>
      <c r="I22" s="26"/>
      <c r="J22" s="26"/>
      <c r="K22" s="72"/>
      <c r="L22" s="1"/>
      <c r="M22" s="12"/>
      <c r="P22" s="13"/>
      <c r="Q22" s="1"/>
      <c r="R22" s="12"/>
      <c r="V22" s="13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>
      <c r="A23" s="1"/>
      <c r="B23" s="73"/>
      <c r="C23" s="74" t="s">
        <v>27</v>
      </c>
      <c r="D23" s="75" t="s">
        <v>16</v>
      </c>
      <c r="E23" s="1"/>
      <c r="F23" s="76"/>
      <c r="G23" s="77"/>
      <c r="H23" s="77" t="s">
        <v>28</v>
      </c>
      <c r="I23" s="77" t="s">
        <v>15</v>
      </c>
      <c r="J23" s="77" t="s">
        <v>16</v>
      </c>
      <c r="K23" s="78" t="s">
        <v>23</v>
      </c>
      <c r="L23" s="1"/>
      <c r="M23" s="79"/>
      <c r="N23" s="80" t="s">
        <v>15</v>
      </c>
      <c r="O23" s="80" t="s">
        <v>16</v>
      </c>
      <c r="P23" s="81" t="s">
        <v>23</v>
      </c>
      <c r="Q23" s="1"/>
      <c r="R23" s="82"/>
      <c r="S23" s="83"/>
      <c r="T23" s="83" t="s">
        <v>28</v>
      </c>
      <c r="U23" s="83" t="s">
        <v>15</v>
      </c>
      <c r="V23" s="84" t="s">
        <v>16</v>
      </c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>
      <c r="A24" s="1"/>
      <c r="B24" s="44" t="s">
        <v>29</v>
      </c>
      <c r="C24" s="85"/>
      <c r="D24" s="86"/>
      <c r="E24" s="1"/>
      <c r="F24" s="44" t="b">
        <v>0</v>
      </c>
      <c r="G24" s="187"/>
      <c r="H24" s="88"/>
      <c r="I24" s="85"/>
      <c r="J24" s="85"/>
      <c r="K24" s="89" t="str">
        <f t="shared" ref="K24:K36" si="5">if(I24="",J24,(if(J24="","",I24-J24)))</f>
        <v/>
      </c>
      <c r="L24" s="1"/>
      <c r="M24" s="44"/>
      <c r="N24" s="85"/>
      <c r="O24" s="85"/>
      <c r="P24" s="46" t="str">
        <f t="shared" ref="P24:P62" si="6">if(N24="",O24,(if(O24="","",N24-O24)))</f>
        <v/>
      </c>
      <c r="Q24" s="1"/>
      <c r="R24" s="44" t="b">
        <v>0</v>
      </c>
      <c r="S24" s="90"/>
      <c r="T24" s="88"/>
      <c r="U24" s="85"/>
      <c r="V24" s="86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>
      <c r="A25" s="1"/>
      <c r="B25" s="15" t="s">
        <v>33</v>
      </c>
      <c r="C25" s="91"/>
      <c r="D25" s="92"/>
      <c r="E25" s="1"/>
      <c r="F25" s="15" t="b">
        <v>0</v>
      </c>
      <c r="G25" s="93"/>
      <c r="H25" s="94"/>
      <c r="I25" s="91"/>
      <c r="J25" s="91"/>
      <c r="K25" s="89" t="str">
        <f t="shared" si="5"/>
        <v/>
      </c>
      <c r="L25" s="1"/>
      <c r="M25" s="15"/>
      <c r="N25" s="91"/>
      <c r="O25" s="91"/>
      <c r="P25" s="46" t="str">
        <f t="shared" si="6"/>
        <v/>
      </c>
      <c r="Q25" s="1"/>
      <c r="R25" s="15" t="b">
        <v>0</v>
      </c>
      <c r="S25" s="21"/>
      <c r="T25" s="94"/>
      <c r="U25" s="91"/>
      <c r="V25" s="92"/>
      <c r="W25" s="1"/>
      <c r="X25" s="1"/>
      <c r="Z25" s="1"/>
      <c r="AA25" s="1"/>
      <c r="AB25" s="1"/>
      <c r="AC25" s="1"/>
      <c r="AD25" s="1"/>
      <c r="AE25" s="1"/>
      <c r="AF25" s="1"/>
      <c r="AG25" s="1"/>
    </row>
    <row r="26">
      <c r="A26" s="1"/>
      <c r="B26" s="15" t="s">
        <v>37</v>
      </c>
      <c r="C26" s="91"/>
      <c r="D26" s="92"/>
      <c r="E26" s="1"/>
      <c r="F26" s="15" t="b">
        <v>0</v>
      </c>
      <c r="G26" s="93"/>
      <c r="H26" s="94"/>
      <c r="I26" s="91"/>
      <c r="J26" s="91"/>
      <c r="K26" s="89" t="str">
        <f t="shared" si="5"/>
        <v/>
      </c>
      <c r="L26" s="1"/>
      <c r="M26" s="15"/>
      <c r="N26" s="91"/>
      <c r="O26" s="91"/>
      <c r="P26" s="46" t="str">
        <f t="shared" si="6"/>
        <v/>
      </c>
      <c r="Q26" s="1"/>
      <c r="R26" s="15" t="b">
        <v>0</v>
      </c>
      <c r="S26" s="21"/>
      <c r="T26" s="94"/>
      <c r="U26" s="91"/>
      <c r="V26" s="92"/>
      <c r="W26" s="1"/>
      <c r="X26" s="1"/>
      <c r="Z26" s="1"/>
      <c r="AA26" s="1"/>
      <c r="AB26" s="1"/>
      <c r="AC26" s="1"/>
      <c r="AD26" s="1"/>
      <c r="AE26" s="1"/>
      <c r="AF26" s="1"/>
      <c r="AG26" s="1"/>
    </row>
    <row r="27">
      <c r="A27" s="1"/>
      <c r="B27" s="15" t="s">
        <v>41</v>
      </c>
      <c r="C27" s="91"/>
      <c r="D27" s="92"/>
      <c r="E27" s="1"/>
      <c r="F27" s="15" t="b">
        <v>0</v>
      </c>
      <c r="G27" s="93"/>
      <c r="H27" s="94"/>
      <c r="I27" s="91"/>
      <c r="J27" s="95"/>
      <c r="K27" s="89" t="str">
        <f t="shared" si="5"/>
        <v/>
      </c>
      <c r="L27" s="1"/>
      <c r="M27" s="15"/>
      <c r="N27" s="91"/>
      <c r="O27" s="91"/>
      <c r="P27" s="46" t="str">
        <f t="shared" si="6"/>
        <v/>
      </c>
      <c r="Q27" s="1"/>
      <c r="R27" s="15" t="b">
        <v>0</v>
      </c>
      <c r="S27" s="21"/>
      <c r="T27" s="94"/>
      <c r="U27" s="91"/>
      <c r="V27" s="92"/>
      <c r="W27" s="1"/>
      <c r="X27" s="1"/>
      <c r="Z27" s="1"/>
      <c r="AA27" s="1"/>
      <c r="AB27" s="1"/>
      <c r="AC27" s="1"/>
      <c r="AD27" s="1"/>
      <c r="AE27" s="1"/>
      <c r="AF27" s="1"/>
      <c r="AG27" s="1"/>
    </row>
    <row r="28">
      <c r="A28" s="1"/>
      <c r="B28" s="53" t="s">
        <v>45</v>
      </c>
      <c r="C28" s="96"/>
      <c r="D28" s="97"/>
      <c r="E28" s="1"/>
      <c r="F28" s="15" t="b">
        <v>0</v>
      </c>
      <c r="G28" s="93"/>
      <c r="H28" s="94"/>
      <c r="I28" s="91"/>
      <c r="J28" s="91"/>
      <c r="K28" s="89" t="str">
        <f t="shared" si="5"/>
        <v/>
      </c>
      <c r="L28" s="1"/>
      <c r="M28" s="15"/>
      <c r="N28" s="91"/>
      <c r="O28" s="91"/>
      <c r="P28" s="46" t="str">
        <f t="shared" si="6"/>
        <v/>
      </c>
      <c r="Q28" s="1"/>
      <c r="R28" s="98" t="b">
        <v>0</v>
      </c>
      <c r="S28" s="90"/>
      <c r="T28" s="94"/>
      <c r="U28" s="99"/>
      <c r="V28" s="92"/>
      <c r="W28" s="1"/>
      <c r="X28" s="1"/>
      <c r="Z28" s="1"/>
      <c r="AA28" s="1"/>
      <c r="AB28" s="1"/>
      <c r="AC28" s="1"/>
      <c r="AD28" s="1"/>
      <c r="AE28" s="1"/>
      <c r="AF28" s="1"/>
      <c r="AG28" s="1"/>
    </row>
    <row r="29">
      <c r="A29" s="1"/>
      <c r="B29" s="100" t="s">
        <v>48</v>
      </c>
      <c r="C29" s="101">
        <f t="shared" ref="C29:D29" si="7">sum(C24:C28)</f>
        <v>0</v>
      </c>
      <c r="D29" s="102">
        <f t="shared" si="7"/>
        <v>0</v>
      </c>
      <c r="E29" s="1"/>
      <c r="F29" s="15" t="b">
        <v>0</v>
      </c>
      <c r="G29" s="93"/>
      <c r="H29" s="94"/>
      <c r="I29" s="91"/>
      <c r="J29" s="91"/>
      <c r="K29" s="89" t="str">
        <f t="shared" si="5"/>
        <v/>
      </c>
      <c r="L29" s="1"/>
      <c r="M29" s="15"/>
      <c r="N29" s="91"/>
      <c r="O29" s="91"/>
      <c r="P29" s="46" t="str">
        <f t="shared" si="6"/>
        <v/>
      </c>
      <c r="Q29" s="1"/>
      <c r="R29" s="98" t="b">
        <v>0</v>
      </c>
      <c r="S29" s="90"/>
      <c r="T29" s="103"/>
      <c r="U29" s="99"/>
      <c r="V29" s="104"/>
      <c r="W29" s="1"/>
      <c r="X29" s="1"/>
      <c r="Y29" s="1"/>
      <c r="Z29" s="1"/>
      <c r="AA29" s="105"/>
      <c r="AB29" s="1"/>
      <c r="AC29" s="1"/>
      <c r="AD29" s="1"/>
      <c r="AE29" s="1"/>
      <c r="AF29" s="1"/>
      <c r="AG29" s="1"/>
    </row>
    <row r="30">
      <c r="A30" s="1"/>
      <c r="B30" s="1"/>
      <c r="C30" s="1"/>
      <c r="D30" s="1"/>
      <c r="E30" s="1"/>
      <c r="F30" s="15" t="b">
        <v>0</v>
      </c>
      <c r="G30" s="93"/>
      <c r="H30" s="94"/>
      <c r="I30" s="91"/>
      <c r="J30" s="91"/>
      <c r="K30" s="89" t="str">
        <f t="shared" si="5"/>
        <v/>
      </c>
      <c r="L30" s="1"/>
      <c r="M30" s="15"/>
      <c r="N30" s="91"/>
      <c r="O30" s="91"/>
      <c r="P30" s="46" t="str">
        <f t="shared" si="6"/>
        <v/>
      </c>
      <c r="Q30" s="1"/>
      <c r="R30" s="98" t="b">
        <v>0</v>
      </c>
      <c r="S30" s="90"/>
      <c r="T30" s="103"/>
      <c r="U30" s="99"/>
      <c r="V30" s="104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>
      <c r="A31" s="1"/>
      <c r="B31" s="106" t="s">
        <v>53</v>
      </c>
      <c r="C31" s="4"/>
      <c r="D31" s="5"/>
      <c r="E31" s="1"/>
      <c r="F31" s="15" t="b">
        <v>0</v>
      </c>
      <c r="G31" s="93"/>
      <c r="H31" s="94"/>
      <c r="I31" s="91"/>
      <c r="J31" s="91"/>
      <c r="K31" s="89" t="str">
        <f t="shared" si="5"/>
        <v/>
      </c>
      <c r="L31" s="1"/>
      <c r="M31" s="15"/>
      <c r="N31" s="91"/>
      <c r="O31" s="91"/>
      <c r="P31" s="46" t="str">
        <f t="shared" si="6"/>
        <v/>
      </c>
      <c r="Q31" s="1"/>
      <c r="R31" s="98" t="b">
        <v>0</v>
      </c>
      <c r="S31" s="90"/>
      <c r="T31" s="103"/>
      <c r="U31" s="99"/>
      <c r="V31" s="104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>
      <c r="A32" s="1"/>
      <c r="B32" s="12"/>
      <c r="D32" s="13"/>
      <c r="E32" s="1"/>
      <c r="F32" s="15" t="b">
        <v>0</v>
      </c>
      <c r="G32" s="93"/>
      <c r="H32" s="94"/>
      <c r="I32" s="91"/>
      <c r="J32" s="91"/>
      <c r="K32" s="89" t="str">
        <f t="shared" si="5"/>
        <v/>
      </c>
      <c r="L32" s="1"/>
      <c r="M32" s="15"/>
      <c r="N32" s="107"/>
      <c r="O32" s="91"/>
      <c r="P32" s="46" t="str">
        <f t="shared" si="6"/>
        <v/>
      </c>
      <c r="Q32" s="1"/>
      <c r="R32" s="98" t="b">
        <v>0</v>
      </c>
      <c r="S32" s="90"/>
      <c r="T32" s="103"/>
      <c r="U32" s="99"/>
      <c r="V32" s="104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>
      <c r="A33" s="1"/>
      <c r="B33" s="108"/>
      <c r="C33" s="109" t="s">
        <v>27</v>
      </c>
      <c r="D33" s="110" t="s">
        <v>16</v>
      </c>
      <c r="E33" s="1"/>
      <c r="F33" s="15" t="b">
        <v>0</v>
      </c>
      <c r="G33" s="93"/>
      <c r="H33" s="94"/>
      <c r="I33" s="91"/>
      <c r="J33" s="91"/>
      <c r="K33" s="89" t="str">
        <f t="shared" si="5"/>
        <v/>
      </c>
      <c r="L33" s="1"/>
      <c r="M33" s="15"/>
      <c r="N33" s="91"/>
      <c r="O33" s="91"/>
      <c r="P33" s="46" t="str">
        <f t="shared" si="6"/>
        <v/>
      </c>
      <c r="Q33" s="1"/>
      <c r="R33" s="98" t="b">
        <v>0</v>
      </c>
      <c r="S33" s="90"/>
      <c r="T33" s="103"/>
      <c r="U33" s="99"/>
      <c r="V33" s="104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>
      <c r="A34" s="1"/>
      <c r="B34" s="15" t="s">
        <v>59</v>
      </c>
      <c r="C34" s="91"/>
      <c r="D34" s="92"/>
      <c r="E34" s="1"/>
      <c r="F34" s="15" t="b">
        <v>0</v>
      </c>
      <c r="G34" s="111"/>
      <c r="H34" s="94"/>
      <c r="I34" s="91"/>
      <c r="J34" s="91"/>
      <c r="K34" s="89" t="str">
        <f t="shared" si="5"/>
        <v/>
      </c>
      <c r="L34" s="1"/>
      <c r="M34" s="15"/>
      <c r="N34" s="91"/>
      <c r="O34" s="91"/>
      <c r="P34" s="46" t="str">
        <f t="shared" si="6"/>
        <v/>
      </c>
      <c r="Q34" s="1"/>
      <c r="R34" s="98" t="b">
        <v>0</v>
      </c>
      <c r="S34" s="90"/>
      <c r="T34" s="103"/>
      <c r="U34" s="99"/>
      <c r="V34" s="104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>
      <c r="A35" s="1"/>
      <c r="B35" s="15" t="s">
        <v>62</v>
      </c>
      <c r="C35" s="91"/>
      <c r="D35" s="92"/>
      <c r="E35" s="1"/>
      <c r="F35" s="15" t="b">
        <v>0</v>
      </c>
      <c r="G35" s="93"/>
      <c r="H35" s="94"/>
      <c r="I35" s="91"/>
      <c r="J35" s="91"/>
      <c r="K35" s="89" t="str">
        <f t="shared" si="5"/>
        <v/>
      </c>
      <c r="L35" s="1"/>
      <c r="M35" s="15"/>
      <c r="N35" s="91"/>
      <c r="O35" s="91"/>
      <c r="P35" s="46" t="str">
        <f t="shared" si="6"/>
        <v/>
      </c>
      <c r="Q35" s="1"/>
      <c r="R35" s="98" t="b">
        <v>0</v>
      </c>
      <c r="S35" s="90"/>
      <c r="T35" s="103"/>
      <c r="U35" s="99"/>
      <c r="V35" s="104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>
      <c r="A36" s="1"/>
      <c r="B36" s="15" t="s">
        <v>64</v>
      </c>
      <c r="C36" s="91"/>
      <c r="D36" s="92"/>
      <c r="E36" s="1"/>
      <c r="F36" s="15" t="b">
        <v>0</v>
      </c>
      <c r="G36" s="93"/>
      <c r="H36" s="94"/>
      <c r="I36" s="91"/>
      <c r="J36" s="91"/>
      <c r="K36" s="89" t="str">
        <f t="shared" si="5"/>
        <v/>
      </c>
      <c r="L36" s="1"/>
      <c r="M36" s="15"/>
      <c r="N36" s="91"/>
      <c r="O36" s="91"/>
      <c r="P36" s="46" t="str">
        <f t="shared" si="6"/>
        <v/>
      </c>
      <c r="Q36" s="1"/>
      <c r="R36" s="98" t="b">
        <v>0</v>
      </c>
      <c r="S36" s="90"/>
      <c r="T36" s="103"/>
      <c r="U36" s="99"/>
      <c r="V36" s="104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>
      <c r="A37" s="1"/>
      <c r="B37" s="15" t="s">
        <v>66</v>
      </c>
      <c r="C37" s="91"/>
      <c r="D37" s="92"/>
      <c r="E37" s="1"/>
      <c r="F37" s="98" t="b">
        <v>0</v>
      </c>
      <c r="G37" s="112"/>
      <c r="H37" s="103"/>
      <c r="I37" s="91"/>
      <c r="J37" s="91"/>
      <c r="K37" s="89"/>
      <c r="L37" s="1"/>
      <c r="M37" s="98"/>
      <c r="N37" s="99"/>
      <c r="O37" s="99"/>
      <c r="P37" s="46" t="str">
        <f t="shared" si="6"/>
        <v/>
      </c>
      <c r="Q37" s="1"/>
      <c r="R37" s="98" t="b">
        <v>0</v>
      </c>
      <c r="S37" s="90"/>
      <c r="T37" s="103"/>
      <c r="U37" s="99"/>
      <c r="V37" s="104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>
      <c r="A38" s="1"/>
      <c r="B38" s="15" t="s">
        <v>67</v>
      </c>
      <c r="C38" s="91"/>
      <c r="D38" s="92"/>
      <c r="E38" s="1"/>
      <c r="F38" s="98" t="b">
        <v>0</v>
      </c>
      <c r="G38" s="112"/>
      <c r="H38" s="103"/>
      <c r="I38" s="99"/>
      <c r="J38" s="91"/>
      <c r="K38" s="89" t="str">
        <f t="shared" ref="K38:K62" si="8">if(I38="",J38,(if(J38="","",I38-J38)))</f>
        <v/>
      </c>
      <c r="L38" s="1"/>
      <c r="M38" s="98"/>
      <c r="N38" s="91"/>
      <c r="O38" s="91"/>
      <c r="P38" s="46" t="str">
        <f t="shared" si="6"/>
        <v/>
      </c>
      <c r="Q38" s="1"/>
      <c r="R38" s="98" t="b">
        <v>0</v>
      </c>
      <c r="S38" s="90"/>
      <c r="T38" s="103"/>
      <c r="U38" s="99"/>
      <c r="V38" s="104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>
      <c r="A39" s="1"/>
      <c r="B39" s="113" t="s">
        <v>48</v>
      </c>
      <c r="C39" s="114">
        <f>SUM(C34:C38)</f>
        <v>0</v>
      </c>
      <c r="D39" s="115">
        <f>sum(D34:D38)</f>
        <v>0</v>
      </c>
      <c r="E39" s="1"/>
      <c r="F39" s="98" t="b">
        <v>0</v>
      </c>
      <c r="G39" s="112"/>
      <c r="H39" s="103"/>
      <c r="I39" s="99"/>
      <c r="J39" s="91"/>
      <c r="K39" s="89" t="str">
        <f t="shared" si="8"/>
        <v/>
      </c>
      <c r="L39" s="1"/>
      <c r="M39" s="98"/>
      <c r="N39" s="91"/>
      <c r="O39" s="91"/>
      <c r="P39" s="46" t="str">
        <f t="shared" si="6"/>
        <v/>
      </c>
      <c r="Q39" s="1"/>
      <c r="R39" s="98" t="b">
        <v>0</v>
      </c>
      <c r="S39" s="90"/>
      <c r="T39" s="103"/>
      <c r="U39" s="99"/>
      <c r="V39" s="104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>
      <c r="A40" s="1"/>
      <c r="B40" s="116"/>
      <c r="C40" s="116"/>
      <c r="D40" s="116"/>
      <c r="E40" s="1"/>
      <c r="F40" s="98" t="b">
        <v>0</v>
      </c>
      <c r="G40" s="112"/>
      <c r="H40" s="103"/>
      <c r="I40" s="99"/>
      <c r="J40" s="91"/>
      <c r="K40" s="89" t="str">
        <f t="shared" si="8"/>
        <v/>
      </c>
      <c r="L40" s="1"/>
      <c r="M40" s="98"/>
      <c r="N40" s="99"/>
      <c r="O40" s="99"/>
      <c r="P40" s="46" t="str">
        <f t="shared" si="6"/>
        <v/>
      </c>
      <c r="Q40" s="1"/>
      <c r="R40" s="98" t="b">
        <v>0</v>
      </c>
      <c r="S40" s="90"/>
      <c r="T40" s="103"/>
      <c r="U40" s="99"/>
      <c r="V40" s="104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>
      <c r="A41" s="1"/>
      <c r="B41" s="117" t="s">
        <v>68</v>
      </c>
      <c r="C41" s="4"/>
      <c r="D41" s="5"/>
      <c r="E41" s="1"/>
      <c r="F41" s="98" t="b">
        <v>0</v>
      </c>
      <c r="G41" s="112"/>
      <c r="H41" s="103"/>
      <c r="I41" s="99"/>
      <c r="J41" s="91"/>
      <c r="K41" s="89" t="str">
        <f t="shared" si="8"/>
        <v/>
      </c>
      <c r="L41" s="1"/>
      <c r="M41" s="98"/>
      <c r="N41" s="99"/>
      <c r="O41" s="99"/>
      <c r="P41" s="46" t="str">
        <f t="shared" si="6"/>
        <v/>
      </c>
      <c r="Q41" s="1"/>
      <c r="R41" s="98" t="b">
        <v>0</v>
      </c>
      <c r="S41" s="90"/>
      <c r="T41" s="103"/>
      <c r="U41" s="99"/>
      <c r="V41" s="104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>
      <c r="A42" s="1"/>
      <c r="B42" s="12"/>
      <c r="D42" s="13"/>
      <c r="E42" s="1"/>
      <c r="F42" s="98" t="b">
        <v>0</v>
      </c>
      <c r="G42" s="112"/>
      <c r="H42" s="103"/>
      <c r="I42" s="99"/>
      <c r="J42" s="99"/>
      <c r="K42" s="89" t="str">
        <f t="shared" si="8"/>
        <v/>
      </c>
      <c r="L42" s="1"/>
      <c r="M42" s="98"/>
      <c r="N42" s="91"/>
      <c r="O42" s="91"/>
      <c r="P42" s="46" t="str">
        <f t="shared" si="6"/>
        <v/>
      </c>
      <c r="Q42" s="1"/>
      <c r="R42" s="98" t="b">
        <v>0</v>
      </c>
      <c r="S42" s="90"/>
      <c r="T42" s="103"/>
      <c r="U42" s="99"/>
      <c r="V42" s="104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>
      <c r="A43" s="1"/>
      <c r="B43" s="118"/>
      <c r="C43" s="119" t="s">
        <v>15</v>
      </c>
      <c r="D43" s="120" t="s">
        <v>16</v>
      </c>
      <c r="E43" s="1"/>
      <c r="F43" s="98" t="b">
        <v>0</v>
      </c>
      <c r="G43" s="112"/>
      <c r="H43" s="103"/>
      <c r="I43" s="99"/>
      <c r="J43" s="91"/>
      <c r="K43" s="89" t="str">
        <f t="shared" si="8"/>
        <v/>
      </c>
      <c r="L43" s="1"/>
      <c r="M43" s="98"/>
      <c r="N43" s="91"/>
      <c r="O43" s="91"/>
      <c r="P43" s="46" t="str">
        <f t="shared" si="6"/>
        <v/>
      </c>
      <c r="Q43" s="1"/>
      <c r="R43" s="98" t="b">
        <v>0</v>
      </c>
      <c r="S43" s="90"/>
      <c r="T43" s="103"/>
      <c r="U43" s="99"/>
      <c r="V43" s="104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>
      <c r="A44" s="1"/>
      <c r="B44" s="44" t="s">
        <v>57</v>
      </c>
      <c r="C44" s="85"/>
      <c r="D44" s="86"/>
      <c r="E44" s="1"/>
      <c r="F44" s="98" t="b">
        <v>0</v>
      </c>
      <c r="G44" s="112"/>
      <c r="H44" s="103"/>
      <c r="I44" s="99"/>
      <c r="J44" s="91"/>
      <c r="K44" s="89" t="str">
        <f t="shared" si="8"/>
        <v/>
      </c>
      <c r="L44" s="1"/>
      <c r="M44" s="98"/>
      <c r="N44" s="99"/>
      <c r="O44" s="91"/>
      <c r="P44" s="46" t="str">
        <f t="shared" si="6"/>
        <v/>
      </c>
      <c r="Q44" s="1"/>
      <c r="R44" s="98" t="b">
        <v>0</v>
      </c>
      <c r="S44" s="90"/>
      <c r="T44" s="103"/>
      <c r="U44" s="99"/>
      <c r="V44" s="104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>
      <c r="A45" s="1"/>
      <c r="B45" s="15" t="s">
        <v>69</v>
      </c>
      <c r="C45" s="91"/>
      <c r="D45" s="92"/>
      <c r="E45" s="1"/>
      <c r="F45" s="98" t="b">
        <v>0</v>
      </c>
      <c r="G45" s="112"/>
      <c r="H45" s="103"/>
      <c r="I45" s="99"/>
      <c r="J45" s="99"/>
      <c r="K45" s="89" t="str">
        <f t="shared" si="8"/>
        <v/>
      </c>
      <c r="L45" s="1"/>
      <c r="M45" s="98"/>
      <c r="N45" s="99"/>
      <c r="O45" s="91"/>
      <c r="P45" s="46" t="str">
        <f t="shared" si="6"/>
        <v/>
      </c>
      <c r="Q45" s="1"/>
      <c r="R45" s="98" t="b">
        <v>0</v>
      </c>
      <c r="S45" s="90"/>
      <c r="T45" s="103"/>
      <c r="U45" s="99"/>
      <c r="V45" s="104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>
      <c r="A46" s="1"/>
      <c r="B46" s="15" t="s">
        <v>70</v>
      </c>
      <c r="C46" s="91"/>
      <c r="D46" s="92"/>
      <c r="E46" s="1"/>
      <c r="F46" s="98" t="b">
        <v>0</v>
      </c>
      <c r="G46" s="112"/>
      <c r="H46" s="103"/>
      <c r="I46" s="91"/>
      <c r="J46" s="91"/>
      <c r="K46" s="89" t="str">
        <f t="shared" si="8"/>
        <v/>
      </c>
      <c r="L46" s="1"/>
      <c r="M46" s="98"/>
      <c r="N46" s="99"/>
      <c r="O46" s="91"/>
      <c r="P46" s="46" t="str">
        <f t="shared" si="6"/>
        <v/>
      </c>
      <c r="Q46" s="1"/>
      <c r="R46" s="98" t="b">
        <v>0</v>
      </c>
      <c r="S46" s="90"/>
      <c r="T46" s="103"/>
      <c r="U46" s="99"/>
      <c r="V46" s="10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>
      <c r="A47" s="1"/>
      <c r="B47" s="15" t="s">
        <v>71</v>
      </c>
      <c r="C47" s="91"/>
      <c r="D47" s="92"/>
      <c r="E47" s="1"/>
      <c r="F47" s="15" t="b">
        <v>0</v>
      </c>
      <c r="G47" s="112"/>
      <c r="H47" s="103"/>
      <c r="I47" s="91"/>
      <c r="J47" s="91"/>
      <c r="K47" s="89" t="str">
        <f t="shared" si="8"/>
        <v/>
      </c>
      <c r="L47" s="1"/>
      <c r="M47" s="98"/>
      <c r="N47" s="99"/>
      <c r="O47" s="99"/>
      <c r="P47" s="46" t="str">
        <f t="shared" si="6"/>
        <v/>
      </c>
      <c r="Q47" s="1"/>
      <c r="R47" s="98" t="b">
        <v>0</v>
      </c>
      <c r="S47" s="90"/>
      <c r="T47" s="103"/>
      <c r="U47" s="99"/>
      <c r="V47" s="104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>
      <c r="A48" s="1"/>
      <c r="B48" s="15" t="s">
        <v>72</v>
      </c>
      <c r="C48" s="91"/>
      <c r="D48" s="92"/>
      <c r="E48" s="1"/>
      <c r="F48" s="15" t="b">
        <v>0</v>
      </c>
      <c r="G48" s="112"/>
      <c r="H48" s="103"/>
      <c r="I48" s="91"/>
      <c r="J48" s="91"/>
      <c r="K48" s="89" t="str">
        <f t="shared" si="8"/>
        <v/>
      </c>
      <c r="L48" s="1"/>
      <c r="M48" s="98"/>
      <c r="N48" s="99"/>
      <c r="O48" s="99"/>
      <c r="P48" s="46" t="str">
        <f t="shared" si="6"/>
        <v/>
      </c>
      <c r="Q48" s="1"/>
      <c r="R48" s="121" t="b">
        <v>0</v>
      </c>
      <c r="S48" s="122"/>
      <c r="T48" s="123"/>
      <c r="U48" s="124"/>
      <c r="V48" s="125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>
      <c r="A49" s="1"/>
      <c r="B49" s="15"/>
      <c r="C49" s="91"/>
      <c r="D49" s="92"/>
      <c r="E49" s="1"/>
      <c r="F49" s="15" t="b">
        <v>0</v>
      </c>
      <c r="G49" s="112"/>
      <c r="H49" s="103"/>
      <c r="I49" s="91"/>
      <c r="J49" s="91"/>
      <c r="K49" s="89" t="str">
        <f t="shared" si="8"/>
        <v/>
      </c>
      <c r="L49" s="1"/>
      <c r="M49" s="98"/>
      <c r="N49" s="99"/>
      <c r="O49" s="99"/>
      <c r="P49" s="46" t="str">
        <f t="shared" si="6"/>
        <v/>
      </c>
      <c r="Q49" s="1"/>
      <c r="R49" s="126"/>
      <c r="S49" s="127" t="s">
        <v>48</v>
      </c>
      <c r="T49" s="127"/>
      <c r="U49" s="128">
        <f>sum(U24:U48)</f>
        <v>0</v>
      </c>
      <c r="V49" s="129">
        <f>SUM(V24:V48)</f>
        <v>0</v>
      </c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>
      <c r="A50" s="1"/>
      <c r="B50" s="15"/>
      <c r="C50" s="91"/>
      <c r="D50" s="92"/>
      <c r="E50" s="1"/>
      <c r="F50" s="15" t="b">
        <v>0</v>
      </c>
      <c r="G50" s="112"/>
      <c r="H50" s="103"/>
      <c r="I50" s="91"/>
      <c r="J50" s="91"/>
      <c r="K50" s="89" t="str">
        <f t="shared" si="8"/>
        <v/>
      </c>
      <c r="M50" s="98"/>
      <c r="N50" s="99"/>
      <c r="O50" s="99"/>
      <c r="P50" s="46" t="str">
        <f t="shared" si="6"/>
        <v/>
      </c>
      <c r="R50" s="33"/>
      <c r="S50" s="33"/>
      <c r="T50" s="33"/>
      <c r="U50" s="33"/>
      <c r="V50" s="33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>
      <c r="A51" s="1"/>
      <c r="B51" s="15"/>
      <c r="C51" s="91"/>
      <c r="D51" s="92"/>
      <c r="E51" s="1"/>
      <c r="F51" s="15" t="b">
        <v>0</v>
      </c>
      <c r="G51" s="112"/>
      <c r="H51" s="103"/>
      <c r="I51" s="91"/>
      <c r="J51" s="91"/>
      <c r="K51" s="89" t="str">
        <f t="shared" si="8"/>
        <v/>
      </c>
      <c r="M51" s="98"/>
      <c r="N51" s="99"/>
      <c r="O51" s="99"/>
      <c r="P51" s="46" t="str">
        <f t="shared" si="6"/>
        <v/>
      </c>
      <c r="R51" s="130" t="s">
        <v>73</v>
      </c>
      <c r="S51" s="4"/>
      <c r="T51" s="4"/>
      <c r="U51" s="4"/>
      <c r="V51" s="5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>
      <c r="A52" s="1"/>
      <c r="B52" s="15"/>
      <c r="C52" s="91"/>
      <c r="D52" s="92"/>
      <c r="E52" s="1"/>
      <c r="F52" s="15" t="b">
        <v>0</v>
      </c>
      <c r="G52" s="112"/>
      <c r="H52" s="103"/>
      <c r="I52" s="91"/>
      <c r="J52" s="91"/>
      <c r="K52" s="89" t="str">
        <f t="shared" si="8"/>
        <v/>
      </c>
      <c r="M52" s="98"/>
      <c r="N52" s="99"/>
      <c r="O52" s="99"/>
      <c r="P52" s="46" t="str">
        <f t="shared" si="6"/>
        <v/>
      </c>
      <c r="R52" s="12"/>
      <c r="V52" s="13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>
      <c r="A53" s="1"/>
      <c r="B53" s="15"/>
      <c r="C53" s="91"/>
      <c r="D53" s="92"/>
      <c r="E53" s="1"/>
      <c r="F53" s="15" t="b">
        <v>0</v>
      </c>
      <c r="G53" s="112"/>
      <c r="H53" s="103"/>
      <c r="I53" s="91"/>
      <c r="J53" s="91"/>
      <c r="K53" s="89" t="str">
        <f t="shared" si="8"/>
        <v/>
      </c>
      <c r="M53" s="98"/>
      <c r="N53" s="99"/>
      <c r="O53" s="99"/>
      <c r="P53" s="46" t="str">
        <f t="shared" si="6"/>
        <v/>
      </c>
      <c r="R53" s="131"/>
      <c r="S53" s="10"/>
      <c r="T53" s="10"/>
      <c r="U53" s="10"/>
      <c r="V53" s="1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>
      <c r="A54" s="1"/>
      <c r="B54" s="15"/>
      <c r="C54" s="91"/>
      <c r="D54" s="92"/>
      <c r="E54" s="1"/>
      <c r="F54" s="15" t="b">
        <v>0</v>
      </c>
      <c r="G54" s="112"/>
      <c r="H54" s="103"/>
      <c r="I54" s="91"/>
      <c r="J54" s="91"/>
      <c r="K54" s="89" t="str">
        <f t="shared" si="8"/>
        <v/>
      </c>
      <c r="M54" s="98"/>
      <c r="N54" s="99"/>
      <c r="O54" s="99"/>
      <c r="P54" s="46" t="str">
        <f t="shared" si="6"/>
        <v/>
      </c>
      <c r="R54" s="132"/>
      <c r="S54" s="133"/>
      <c r="T54" s="133"/>
      <c r="U54" s="133"/>
      <c r="V54" s="17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>
      <c r="A55" s="1"/>
      <c r="B55" s="15"/>
      <c r="C55" s="91"/>
      <c r="D55" s="92"/>
      <c r="E55" s="1"/>
      <c r="F55" s="15" t="b">
        <v>0</v>
      </c>
      <c r="G55" s="112"/>
      <c r="H55" s="103"/>
      <c r="I55" s="91"/>
      <c r="J55" s="91"/>
      <c r="K55" s="89" t="str">
        <f t="shared" si="8"/>
        <v/>
      </c>
      <c r="M55" s="98"/>
      <c r="N55" s="99"/>
      <c r="O55" s="99"/>
      <c r="P55" s="46" t="str">
        <f t="shared" si="6"/>
        <v/>
      </c>
      <c r="R55" s="132"/>
      <c r="S55" s="133"/>
      <c r="T55" s="133"/>
      <c r="U55" s="133"/>
      <c r="V55" s="17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>
      <c r="A56" s="1"/>
      <c r="B56" s="15"/>
      <c r="C56" s="91"/>
      <c r="D56" s="92"/>
      <c r="E56" s="1"/>
      <c r="F56" s="15" t="b">
        <v>0</v>
      </c>
      <c r="G56" s="112"/>
      <c r="H56" s="103"/>
      <c r="I56" s="91"/>
      <c r="J56" s="91"/>
      <c r="K56" s="89" t="str">
        <f t="shared" si="8"/>
        <v/>
      </c>
      <c r="M56" s="98"/>
      <c r="N56" s="99"/>
      <c r="O56" s="99"/>
      <c r="P56" s="46" t="str">
        <f t="shared" si="6"/>
        <v/>
      </c>
      <c r="R56" s="134"/>
      <c r="S56" s="133"/>
      <c r="T56" s="133"/>
      <c r="U56" s="133"/>
      <c r="V56" s="17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>
      <c r="A57" s="1"/>
      <c r="B57" s="15"/>
      <c r="C57" s="91"/>
      <c r="D57" s="92"/>
      <c r="E57" s="1"/>
      <c r="F57" s="15" t="b">
        <v>0</v>
      </c>
      <c r="G57" s="112"/>
      <c r="H57" s="103"/>
      <c r="I57" s="91"/>
      <c r="J57" s="91"/>
      <c r="K57" s="89" t="str">
        <f t="shared" si="8"/>
        <v/>
      </c>
      <c r="M57" s="98"/>
      <c r="N57" s="99"/>
      <c r="O57" s="99"/>
      <c r="P57" s="46" t="str">
        <f t="shared" si="6"/>
        <v/>
      </c>
      <c r="R57" s="134"/>
      <c r="S57" s="133"/>
      <c r="T57" s="133"/>
      <c r="U57" s="133"/>
      <c r="V57" s="17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>
      <c r="A58" s="1"/>
      <c r="B58" s="15"/>
      <c r="C58" s="91"/>
      <c r="D58" s="92"/>
      <c r="E58" s="1"/>
      <c r="F58" s="15" t="b">
        <v>0</v>
      </c>
      <c r="G58" s="112"/>
      <c r="H58" s="103"/>
      <c r="I58" s="91"/>
      <c r="J58" s="91"/>
      <c r="K58" s="89" t="str">
        <f t="shared" si="8"/>
        <v/>
      </c>
      <c r="M58" s="98"/>
      <c r="N58" s="99"/>
      <c r="O58" s="99"/>
      <c r="P58" s="46" t="str">
        <f t="shared" si="6"/>
        <v/>
      </c>
      <c r="R58" s="134"/>
      <c r="S58" s="133"/>
      <c r="T58" s="133"/>
      <c r="U58" s="133"/>
      <c r="V58" s="17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>
      <c r="A59" s="1"/>
      <c r="B59" s="15"/>
      <c r="C59" s="91"/>
      <c r="D59" s="92"/>
      <c r="E59" s="1"/>
      <c r="F59" s="15" t="b">
        <v>0</v>
      </c>
      <c r="G59" s="112"/>
      <c r="H59" s="103"/>
      <c r="I59" s="91"/>
      <c r="J59" s="91"/>
      <c r="K59" s="89" t="str">
        <f t="shared" si="8"/>
        <v/>
      </c>
      <c r="M59" s="98"/>
      <c r="N59" s="99"/>
      <c r="O59" s="99"/>
      <c r="P59" s="46" t="str">
        <f t="shared" si="6"/>
        <v/>
      </c>
      <c r="R59" s="134"/>
      <c r="S59" s="133"/>
      <c r="T59" s="133"/>
      <c r="U59" s="133"/>
      <c r="V59" s="17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>
      <c r="A60" s="1"/>
      <c r="B60" s="15"/>
      <c r="C60" s="91"/>
      <c r="D60" s="92"/>
      <c r="E60" s="1"/>
      <c r="F60" s="15" t="b">
        <v>0</v>
      </c>
      <c r="G60" s="112"/>
      <c r="H60" s="103"/>
      <c r="I60" s="91"/>
      <c r="J60" s="91"/>
      <c r="K60" s="89" t="str">
        <f t="shared" si="8"/>
        <v/>
      </c>
      <c r="M60" s="98"/>
      <c r="N60" s="99"/>
      <c r="O60" s="99"/>
      <c r="P60" s="46" t="str">
        <f t="shared" si="6"/>
        <v/>
      </c>
      <c r="R60" s="134"/>
      <c r="S60" s="133"/>
      <c r="T60" s="133"/>
      <c r="U60" s="133"/>
      <c r="V60" s="17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>
      <c r="A61" s="1"/>
      <c r="B61" s="15"/>
      <c r="C61" s="91"/>
      <c r="D61" s="92"/>
      <c r="E61" s="1"/>
      <c r="F61" s="15" t="b">
        <v>0</v>
      </c>
      <c r="G61" s="112"/>
      <c r="H61" s="103"/>
      <c r="I61" s="91"/>
      <c r="J61" s="91"/>
      <c r="K61" s="89" t="str">
        <f t="shared" si="8"/>
        <v/>
      </c>
      <c r="M61" s="98"/>
      <c r="N61" s="99"/>
      <c r="O61" s="99"/>
      <c r="P61" s="46" t="str">
        <f t="shared" si="6"/>
        <v/>
      </c>
      <c r="R61" s="134"/>
      <c r="S61" s="133"/>
      <c r="T61" s="133"/>
      <c r="U61" s="133"/>
      <c r="V61" s="17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>
      <c r="A62" s="1"/>
      <c r="B62" s="15"/>
      <c r="C62" s="91"/>
      <c r="D62" s="92"/>
      <c r="E62" s="1"/>
      <c r="F62" s="15" t="b">
        <v>0</v>
      </c>
      <c r="G62" s="112"/>
      <c r="H62" s="103"/>
      <c r="I62" s="91"/>
      <c r="J62" s="91"/>
      <c r="K62" s="89" t="str">
        <f t="shared" si="8"/>
        <v/>
      </c>
      <c r="M62" s="98"/>
      <c r="N62" s="99"/>
      <c r="O62" s="99"/>
      <c r="P62" s="46" t="str">
        <f t="shared" si="6"/>
        <v/>
      </c>
      <c r="R62" s="134"/>
      <c r="S62" s="133"/>
      <c r="T62" s="133"/>
      <c r="U62" s="133"/>
      <c r="V62" s="17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>
      <c r="A63" s="1"/>
      <c r="B63" s="135" t="s">
        <v>48</v>
      </c>
      <c r="C63" s="136">
        <f t="shared" ref="C63:D63" si="9">SUM(C44:C62)</f>
        <v>0</v>
      </c>
      <c r="D63" s="137">
        <f t="shared" si="9"/>
        <v>0</v>
      </c>
      <c r="E63" s="1"/>
      <c r="F63" s="138"/>
      <c r="G63" s="139" t="s">
        <v>48</v>
      </c>
      <c r="H63" s="140"/>
      <c r="I63" s="141">
        <f t="shared" ref="I63:J63" si="10">SUM(I24:I62)</f>
        <v>0</v>
      </c>
      <c r="J63" s="141">
        <f t="shared" si="10"/>
        <v>0</v>
      </c>
      <c r="K63" s="142">
        <f>sum(K24:K62)</f>
        <v>0</v>
      </c>
      <c r="L63" s="1"/>
      <c r="M63" s="143" t="s">
        <v>48</v>
      </c>
      <c r="N63" s="144">
        <f t="shared" ref="N63:P63" si="11">SUM(N24:N62)</f>
        <v>0</v>
      </c>
      <c r="O63" s="144">
        <f t="shared" si="11"/>
        <v>0</v>
      </c>
      <c r="P63" s="145">
        <f t="shared" si="11"/>
        <v>0</v>
      </c>
      <c r="Q63" s="1"/>
      <c r="R63" s="146"/>
      <c r="S63" s="147"/>
      <c r="T63" s="147"/>
      <c r="U63" s="147"/>
      <c r="V63" s="24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>
      <c r="A64" s="1"/>
      <c r="B64" s="1"/>
      <c r="C64" s="1"/>
      <c r="D64" s="1"/>
      <c r="E64" s="1"/>
      <c r="F64" s="1"/>
      <c r="G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>
      <c r="A65" s="1"/>
      <c r="B65" s="1"/>
      <c r="C65" s="1"/>
      <c r="D65" s="1"/>
      <c r="E65" s="1"/>
      <c r="F65" s="1"/>
      <c r="G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>
      <c r="A66" s="1"/>
      <c r="B66" s="1"/>
      <c r="C66" s="1"/>
      <c r="D66" s="1"/>
      <c r="E66" s="1"/>
      <c r="F66" s="1"/>
      <c r="G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>
      <c r="A67" s="1"/>
      <c r="B67" s="1"/>
      <c r="C67" s="1"/>
      <c r="D67" s="1"/>
      <c r="E67" s="1"/>
      <c r="F67" s="1"/>
      <c r="G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>
      <c r="A68" s="1"/>
      <c r="B68" s="1"/>
      <c r="C68" s="1"/>
      <c r="D68" s="1"/>
      <c r="E68" s="1"/>
      <c r="F68" s="1"/>
      <c r="G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>
      <c r="A69" s="1"/>
      <c r="B69" s="1"/>
      <c r="C69" s="1"/>
      <c r="D69" s="1"/>
      <c r="E69" s="1"/>
      <c r="F69" s="1"/>
      <c r="G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>
      <c r="A70" s="1"/>
      <c r="B70" s="1"/>
      <c r="C70" s="1"/>
      <c r="D70" s="1"/>
      <c r="E70" s="1"/>
      <c r="F70" s="1"/>
      <c r="G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>
      <c r="A71" s="1"/>
      <c r="B71" s="1"/>
      <c r="C71" s="1"/>
      <c r="D71" s="1"/>
      <c r="E71" s="1"/>
      <c r="F71" s="1"/>
      <c r="G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>
      <c r="A72" s="1"/>
      <c r="B72" s="1"/>
      <c r="C72" s="1"/>
      <c r="D72" s="1"/>
      <c r="E72" s="1"/>
      <c r="F72" s="1"/>
      <c r="G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>
      <c r="A73" s="1"/>
      <c r="B73" s="1"/>
      <c r="C73" s="1"/>
      <c r="D73" s="1"/>
      <c r="E73" s="1"/>
      <c r="F73" s="1"/>
      <c r="G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>
      <c r="A74" s="1"/>
      <c r="B74" s="1"/>
      <c r="C74" s="1"/>
      <c r="D74" s="1"/>
      <c r="E74" s="1"/>
      <c r="F74" s="1"/>
      <c r="G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>
      <c r="A75" s="1"/>
      <c r="B75" s="1"/>
      <c r="C75" s="1"/>
      <c r="D75" s="1"/>
      <c r="E75" s="1"/>
      <c r="F75" s="1"/>
      <c r="G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>
      <c r="A76" s="1"/>
      <c r="B76" s="1"/>
      <c r="C76" s="1"/>
      <c r="D76" s="1"/>
      <c r="E76" s="1"/>
      <c r="F76" s="1"/>
      <c r="G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>
      <c r="A77" s="1"/>
      <c r="B77" s="1"/>
      <c r="C77" s="1"/>
      <c r="D77" s="1"/>
      <c r="E77" s="1"/>
      <c r="F77" s="1"/>
      <c r="G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>
      <c r="A78" s="1"/>
      <c r="B78" s="1"/>
      <c r="C78" s="1"/>
      <c r="D78" s="1"/>
      <c r="E78" s="1"/>
      <c r="F78" s="1"/>
      <c r="G78" s="1"/>
      <c r="H78" s="189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</row>
  </sheetData>
  <mergeCells count="35">
    <mergeCell ref="B4:D5"/>
    <mergeCell ref="J4:M6"/>
    <mergeCell ref="N4:P6"/>
    <mergeCell ref="Q4:T6"/>
    <mergeCell ref="U4:V6"/>
    <mergeCell ref="C6:D6"/>
    <mergeCell ref="C7:D7"/>
    <mergeCell ref="F4:I6"/>
    <mergeCell ref="F7:I9"/>
    <mergeCell ref="J7:M9"/>
    <mergeCell ref="N7:P9"/>
    <mergeCell ref="Q7:T9"/>
    <mergeCell ref="U7:V9"/>
    <mergeCell ref="C8:D8"/>
    <mergeCell ref="C9:D9"/>
    <mergeCell ref="B11:D12"/>
    <mergeCell ref="I15:I16"/>
    <mergeCell ref="B21:D22"/>
    <mergeCell ref="F21:J22"/>
    <mergeCell ref="M21:P22"/>
    <mergeCell ref="R21:V22"/>
    <mergeCell ref="R57:V57"/>
    <mergeCell ref="R58:V58"/>
    <mergeCell ref="R59:V59"/>
    <mergeCell ref="R60:V60"/>
    <mergeCell ref="R61:V61"/>
    <mergeCell ref="R62:V62"/>
    <mergeCell ref="R63:V63"/>
    <mergeCell ref="B31:D32"/>
    <mergeCell ref="B41:D42"/>
    <mergeCell ref="R51:V52"/>
    <mergeCell ref="R53:V53"/>
    <mergeCell ref="R54:V54"/>
    <mergeCell ref="R55:V55"/>
    <mergeCell ref="R56:V56"/>
  </mergeCells>
  <conditionalFormatting sqref="K24:K62">
    <cfRule type="cellIs" dxfId="0" priority="1" operator="greaterThan">
      <formula>0</formula>
    </cfRule>
  </conditionalFormatting>
  <conditionalFormatting sqref="K24:K62">
    <cfRule type="cellIs" dxfId="1" priority="2" operator="lessThan">
      <formula>0</formula>
    </cfRule>
  </conditionalFormatting>
  <conditionalFormatting sqref="P24:P62">
    <cfRule type="cellIs" dxfId="0" priority="3" operator="greaterThan">
      <formula>0</formula>
    </cfRule>
  </conditionalFormatting>
  <conditionalFormatting sqref="P24:P62">
    <cfRule type="cellIs" dxfId="1" priority="4" operator="lessThan">
      <formula>0</formula>
    </cfRule>
  </conditionalFormatting>
  <conditionalFormatting sqref="P24:P62">
    <cfRule type="cellIs" dxfId="2" priority="5" operator="equal">
      <formula>0</formula>
    </cfRule>
  </conditionalFormatting>
  <conditionalFormatting sqref="K24:K62">
    <cfRule type="cellIs" dxfId="2" priority="6" operator="equal">
      <formula>0</formula>
    </cfRule>
  </conditionalFormatting>
  <conditionalFormatting sqref="K63">
    <cfRule type="cellIs" dxfId="3" priority="7" operator="greaterThan">
      <formula>0</formula>
    </cfRule>
  </conditionalFormatting>
  <conditionalFormatting sqref="K63">
    <cfRule type="cellIs" dxfId="4" priority="8" operator="lessThan">
      <formula>0</formula>
    </cfRule>
  </conditionalFormatting>
  <conditionalFormatting sqref="P63">
    <cfRule type="cellIs" dxfId="3" priority="9" operator="greaterThan">
      <formula>0</formula>
    </cfRule>
  </conditionalFormatting>
  <conditionalFormatting sqref="K63">
    <cfRule type="cellIs" dxfId="5" priority="10" operator="equal">
      <formula>0</formula>
    </cfRule>
  </conditionalFormatting>
  <dataValidations>
    <dataValidation type="list" allowBlank="1" showErrorMessage="1" sqref="T24:T27 T29:T48 H24:H62">
      <formula1>setting!$A$2:$A$32</formula1>
    </dataValidation>
    <dataValidation type="list" allowBlank="1" showErrorMessage="1" sqref="T28">
      <formula1>setting!$A$2:$A$33</formula1>
    </dataValidation>
    <dataValidation type="list" allowBlank="1" showErrorMessage="1" sqref="C8">
      <formula1>"$,£,€,¥,₽,₩,R$"</formula1>
    </dataValidation>
    <dataValidation type="custom" allowBlank="1" showDropDown="1" sqref="C7">
      <formula1>OR(NOT(ISERROR(DATEVALUE(C7))), AND(ISNUMBER(C7), LEFT(CELL("format", C7))="D"))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15.0"/>
    <col customWidth="1" min="5" max="5" width="1.38"/>
    <col customWidth="1" min="6" max="6" width="3.38"/>
    <col customWidth="1" min="7" max="7" width="15.5"/>
    <col customWidth="1" min="8" max="8" width="7.0"/>
    <col customWidth="1" min="12" max="12" width="2.63"/>
    <col customWidth="1" min="13" max="13" width="15.13"/>
    <col customWidth="1" min="17" max="17" width="2.63"/>
    <col customWidth="1" min="18" max="18" width="3.13"/>
    <col customWidth="1" min="19" max="19" width="13.25"/>
    <col customWidth="1" min="20" max="20" width="5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40.5" customHeight="1">
      <c r="A2" s="1"/>
      <c r="B2" s="1"/>
      <c r="C2" s="2" t="s">
        <v>98</v>
      </c>
      <c r="D2" s="1"/>
      <c r="E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ht="5.25" customHeight="1">
      <c r="A3" s="1"/>
      <c r="B3" s="1"/>
      <c r="C3" s="1"/>
      <c r="D3" s="1"/>
      <c r="E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>
      <c r="A4" s="1"/>
      <c r="B4" s="3" t="s">
        <v>1</v>
      </c>
      <c r="C4" s="4"/>
      <c r="D4" s="5"/>
      <c r="E4" s="1"/>
      <c r="F4" s="6" t="s">
        <v>2</v>
      </c>
      <c r="G4" s="4"/>
      <c r="H4" s="4"/>
      <c r="I4" s="4"/>
      <c r="J4" s="7" t="s">
        <v>3</v>
      </c>
      <c r="K4" s="4"/>
      <c r="L4" s="4"/>
      <c r="M4" s="4"/>
      <c r="N4" s="7" t="s">
        <v>4</v>
      </c>
      <c r="O4" s="4"/>
      <c r="P4" s="4"/>
      <c r="Q4" s="8" t="s">
        <v>5</v>
      </c>
      <c r="R4" s="4"/>
      <c r="S4" s="4"/>
      <c r="T4" s="4"/>
      <c r="U4" s="7" t="s">
        <v>6</v>
      </c>
      <c r="V4" s="5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>
      <c r="A5" s="1"/>
      <c r="B5" s="9"/>
      <c r="C5" s="10"/>
      <c r="D5" s="11"/>
      <c r="E5" s="1"/>
      <c r="F5" s="12"/>
      <c r="V5" s="13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>
      <c r="A6" s="1"/>
      <c r="B6" s="15" t="s">
        <v>7</v>
      </c>
      <c r="C6" s="16">
        <v>45839.0</v>
      </c>
      <c r="D6" s="17"/>
      <c r="E6" s="1"/>
      <c r="F6" s="12"/>
      <c r="V6" s="13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>
      <c r="A7" s="1"/>
      <c r="B7" s="15" t="s">
        <v>8</v>
      </c>
      <c r="C7" s="16">
        <v>45869.0</v>
      </c>
      <c r="D7" s="17"/>
      <c r="E7" s="1"/>
      <c r="F7" s="18">
        <f>D15</f>
        <v>0</v>
      </c>
      <c r="J7" s="19">
        <f>D19</f>
        <v>0</v>
      </c>
      <c r="N7" s="20">
        <f>D17</f>
        <v>0</v>
      </c>
      <c r="Q7" s="19">
        <f>D18</f>
        <v>0</v>
      </c>
      <c r="U7" s="19">
        <f>D16</f>
        <v>0</v>
      </c>
      <c r="V7" s="13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>
      <c r="A8" s="1"/>
      <c r="B8" s="15" t="s">
        <v>9</v>
      </c>
      <c r="C8" s="21" t="s">
        <v>10</v>
      </c>
      <c r="D8" s="17"/>
      <c r="E8" s="1"/>
      <c r="F8" s="12"/>
      <c r="V8" s="13"/>
      <c r="W8" s="1"/>
      <c r="X8" s="1"/>
      <c r="Y8" s="1"/>
      <c r="AA8" s="1"/>
      <c r="AB8" s="1"/>
      <c r="AC8" s="1"/>
      <c r="AD8" s="1"/>
      <c r="AE8" s="1"/>
      <c r="AF8" s="1"/>
      <c r="AG8" s="1"/>
    </row>
    <row r="9">
      <c r="A9" s="1"/>
      <c r="B9" s="22" t="s">
        <v>11</v>
      </c>
      <c r="C9" s="23">
        <f>June!J7</f>
        <v>0</v>
      </c>
      <c r="D9" s="24"/>
      <c r="E9" s="1"/>
      <c r="F9" s="25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7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>
      <c r="A10" s="1"/>
      <c r="B10" s="28" t="s">
        <v>12</v>
      </c>
      <c r="C10" s="29">
        <f>D16+D17+D18</f>
        <v>0</v>
      </c>
      <c r="D10" s="29">
        <f>D19</f>
        <v>0</v>
      </c>
      <c r="E10" s="1"/>
      <c r="W10" s="1"/>
      <c r="X10" s="1"/>
      <c r="Y10" s="1"/>
      <c r="Z10" s="1"/>
      <c r="AA10" s="1"/>
      <c r="AB10" s="1"/>
      <c r="AC10" s="30"/>
      <c r="AD10" s="30"/>
      <c r="AE10" s="30"/>
      <c r="AF10" s="30"/>
      <c r="AG10" s="1"/>
    </row>
    <row r="11">
      <c r="A11" s="1"/>
      <c r="B11" s="31" t="s">
        <v>13</v>
      </c>
      <c r="C11" s="4"/>
      <c r="D11" s="5"/>
      <c r="E11" s="1"/>
      <c r="F11" s="32"/>
      <c r="G11" s="33"/>
      <c r="H11" s="33"/>
      <c r="I11" s="33"/>
      <c r="J11" s="33"/>
      <c r="K11" s="34"/>
      <c r="M11" s="32"/>
      <c r="N11" s="33"/>
      <c r="O11" s="33"/>
      <c r="P11" s="34"/>
      <c r="R11" s="32"/>
      <c r="S11" s="33"/>
      <c r="T11" s="33"/>
      <c r="U11" s="33"/>
      <c r="V11" s="34"/>
      <c r="W11" s="1"/>
      <c r="X11" s="1"/>
      <c r="Y11" s="1"/>
      <c r="Z11" s="1"/>
      <c r="AA11" s="1"/>
      <c r="AB11" s="1"/>
      <c r="AC11" s="30"/>
      <c r="AD11" s="30"/>
      <c r="AE11" s="30"/>
      <c r="AF11" s="30"/>
      <c r="AG11" s="1"/>
    </row>
    <row r="12">
      <c r="A12" s="1"/>
      <c r="B12" s="12"/>
      <c r="D12" s="13"/>
      <c r="E12" s="1"/>
      <c r="F12" s="35"/>
      <c r="G12" s="36"/>
      <c r="H12" s="36"/>
      <c r="I12" s="36"/>
      <c r="J12" s="36"/>
      <c r="K12" s="37"/>
      <c r="L12" s="1"/>
      <c r="M12" s="38"/>
      <c r="N12" s="1"/>
      <c r="O12" s="1"/>
      <c r="P12" s="39"/>
      <c r="Q12" s="1"/>
      <c r="R12" s="38"/>
      <c r="S12" s="1"/>
      <c r="T12" s="1"/>
      <c r="U12" s="1"/>
      <c r="V12" s="39"/>
      <c r="W12" s="1"/>
      <c r="X12" s="1"/>
      <c r="Y12" s="1"/>
      <c r="Z12" s="1"/>
      <c r="AA12" s="1"/>
      <c r="AB12" s="1"/>
      <c r="AC12" s="30"/>
      <c r="AD12" s="28" t="s">
        <v>14</v>
      </c>
      <c r="AE12" s="29">
        <f>V49</f>
        <v>0</v>
      </c>
      <c r="AF12" s="30"/>
      <c r="AG12" s="1"/>
    </row>
    <row r="13">
      <c r="A13" s="1"/>
      <c r="B13" s="40"/>
      <c r="C13" s="41" t="s">
        <v>15</v>
      </c>
      <c r="D13" s="42" t="s">
        <v>16</v>
      </c>
      <c r="E13" s="1"/>
      <c r="F13" s="43"/>
      <c r="G13" s="36"/>
      <c r="H13" s="36"/>
      <c r="I13" s="36"/>
      <c r="J13" s="36"/>
      <c r="K13" s="37"/>
      <c r="L13" s="1"/>
      <c r="M13" s="38"/>
      <c r="N13" s="1"/>
      <c r="O13" s="1"/>
      <c r="P13" s="39"/>
      <c r="Q13" s="1"/>
      <c r="R13" s="38"/>
      <c r="S13" s="1"/>
      <c r="T13" s="1"/>
      <c r="U13" s="1"/>
      <c r="V13" s="39"/>
      <c r="W13" s="1"/>
      <c r="X13" s="1"/>
      <c r="Y13" s="1"/>
      <c r="Z13" s="1"/>
      <c r="AA13" s="1"/>
      <c r="AB13" s="1"/>
      <c r="AC13" s="30"/>
      <c r="AD13" s="28" t="s">
        <v>17</v>
      </c>
      <c r="AE13" s="29">
        <f>J63</f>
        <v>0</v>
      </c>
      <c r="AF13" s="30"/>
      <c r="AG13" s="1"/>
    </row>
    <row r="14">
      <c r="A14" s="1"/>
      <c r="B14" s="44" t="s">
        <v>11</v>
      </c>
      <c r="C14" s="45">
        <f>C9</f>
        <v>0</v>
      </c>
      <c r="D14" s="46">
        <f>C9</f>
        <v>0</v>
      </c>
      <c r="E14" s="47" t="s">
        <v>18</v>
      </c>
      <c r="F14" s="43"/>
      <c r="G14" s="36"/>
      <c r="H14" s="36"/>
      <c r="I14" s="36"/>
      <c r="J14" s="36"/>
      <c r="K14" s="37"/>
      <c r="L14" s="1"/>
      <c r="M14" s="38"/>
      <c r="N14" s="1"/>
      <c r="O14" s="1"/>
      <c r="P14" s="39"/>
      <c r="Q14" s="1"/>
      <c r="R14" s="38"/>
      <c r="S14" s="1"/>
      <c r="T14" s="1"/>
      <c r="U14" s="1"/>
      <c r="V14" s="39"/>
      <c r="W14" s="1"/>
      <c r="X14" s="1"/>
      <c r="Y14" s="1"/>
      <c r="Z14" s="1"/>
      <c r="AA14" s="1"/>
      <c r="AB14" s="1"/>
      <c r="AC14" s="30"/>
      <c r="AD14" s="28" t="s">
        <v>19</v>
      </c>
      <c r="AE14" s="48">
        <f>O63</f>
        <v>0</v>
      </c>
      <c r="AF14" s="30"/>
      <c r="AG14" s="1"/>
    </row>
    <row r="15">
      <c r="A15" s="1"/>
      <c r="B15" s="15" t="s">
        <v>20</v>
      </c>
      <c r="C15" s="49">
        <f t="shared" ref="C15:D15" si="1">C29+C39</f>
        <v>0</v>
      </c>
      <c r="D15" s="50">
        <f t="shared" si="1"/>
        <v>0</v>
      </c>
      <c r="E15" s="1"/>
      <c r="F15" s="43"/>
      <c r="G15" s="51"/>
      <c r="H15" s="51"/>
      <c r="I15" s="52">
        <f>D19</f>
        <v>0</v>
      </c>
      <c r="J15" s="51"/>
      <c r="K15" s="37"/>
      <c r="L15" s="1"/>
      <c r="M15" s="38"/>
      <c r="N15" s="1"/>
      <c r="O15" s="1"/>
      <c r="P15" s="39"/>
      <c r="Q15" s="1"/>
      <c r="R15" s="38"/>
      <c r="S15" s="1"/>
      <c r="T15" s="1"/>
      <c r="U15" s="1"/>
      <c r="V15" s="39"/>
      <c r="W15" s="1"/>
      <c r="X15" s="1"/>
      <c r="Y15" s="1"/>
      <c r="Z15" s="1"/>
      <c r="AA15" s="1"/>
      <c r="AB15" s="1"/>
      <c r="AC15" s="30"/>
      <c r="AD15" s="28" t="s">
        <v>21</v>
      </c>
      <c r="AE15" s="29">
        <f>D63</f>
        <v>0</v>
      </c>
      <c r="AF15" s="30"/>
      <c r="AG15" s="1"/>
    </row>
    <row r="16">
      <c r="A16" s="1"/>
      <c r="B16" s="15" t="s">
        <v>6</v>
      </c>
      <c r="C16" s="49">
        <f t="shared" ref="C16:D16" si="2">C63</f>
        <v>0</v>
      </c>
      <c r="D16" s="50">
        <f t="shared" si="2"/>
        <v>0</v>
      </c>
      <c r="E16" s="1"/>
      <c r="F16" s="43"/>
      <c r="G16" s="51"/>
      <c r="H16" s="51"/>
      <c r="J16" s="51"/>
      <c r="K16" s="37"/>
      <c r="L16" s="1"/>
      <c r="M16" s="38"/>
      <c r="N16" s="1"/>
      <c r="O16" s="1"/>
      <c r="P16" s="39"/>
      <c r="Q16" s="1"/>
      <c r="R16" s="38"/>
      <c r="S16" s="1"/>
      <c r="T16" s="1"/>
      <c r="U16" s="1"/>
      <c r="V16" s="39"/>
      <c r="W16" s="1"/>
      <c r="X16" s="1"/>
      <c r="Y16" s="1"/>
      <c r="Z16" s="1"/>
      <c r="AA16" s="1"/>
      <c r="AB16" s="1"/>
      <c r="AC16" s="30"/>
      <c r="AD16" s="30"/>
      <c r="AE16" s="30"/>
      <c r="AF16" s="30"/>
      <c r="AG16" s="1"/>
    </row>
    <row r="17">
      <c r="A17" s="1"/>
      <c r="B17" s="15" t="s">
        <v>4</v>
      </c>
      <c r="C17" s="49">
        <f t="shared" ref="C17:D17" si="3">I63+N63</f>
        <v>0</v>
      </c>
      <c r="D17" s="50">
        <f t="shared" si="3"/>
        <v>0</v>
      </c>
      <c r="E17" s="1"/>
      <c r="F17" s="43"/>
      <c r="G17" s="36"/>
      <c r="H17" s="36"/>
      <c r="I17" s="36"/>
      <c r="J17" s="36"/>
      <c r="K17" s="37"/>
      <c r="L17" s="1"/>
      <c r="M17" s="38"/>
      <c r="N17" s="1"/>
      <c r="O17" s="1"/>
      <c r="P17" s="39"/>
      <c r="Q17" s="1"/>
      <c r="R17" s="38"/>
      <c r="S17" s="1"/>
      <c r="T17" s="1"/>
      <c r="U17" s="1"/>
      <c r="V17" s="39"/>
      <c r="W17" s="1"/>
      <c r="X17" s="1"/>
      <c r="Y17" s="1"/>
      <c r="Z17" s="1"/>
      <c r="AA17" s="1"/>
      <c r="AB17" s="1"/>
      <c r="AC17" s="30"/>
      <c r="AD17" s="30"/>
      <c r="AE17" s="30"/>
      <c r="AF17" s="30"/>
      <c r="AG17" s="1"/>
    </row>
    <row r="18">
      <c r="A18" s="1"/>
      <c r="B18" s="53" t="s">
        <v>22</v>
      </c>
      <c r="C18" s="54">
        <f t="shared" ref="C18:D18" si="4">U49</f>
        <v>0</v>
      </c>
      <c r="D18" s="55">
        <f t="shared" si="4"/>
        <v>0</v>
      </c>
      <c r="E18" s="1"/>
      <c r="F18" s="43"/>
      <c r="G18" s="36"/>
      <c r="H18" s="36"/>
      <c r="I18" s="36"/>
      <c r="J18" s="36"/>
      <c r="K18" s="37"/>
      <c r="L18" s="1"/>
      <c r="M18" s="38"/>
      <c r="N18" s="1"/>
      <c r="O18" s="1"/>
      <c r="P18" s="39"/>
      <c r="Q18" s="1"/>
      <c r="R18" s="38"/>
      <c r="S18" s="1"/>
      <c r="T18" s="1"/>
      <c r="U18" s="1"/>
      <c r="V18" s="39"/>
      <c r="W18" s="1"/>
      <c r="X18" s="1"/>
      <c r="Y18" s="1"/>
      <c r="Z18" s="1"/>
      <c r="AA18" s="1"/>
      <c r="AB18" s="1"/>
      <c r="AC18" s="30"/>
      <c r="AD18" s="30"/>
      <c r="AE18" s="30"/>
      <c r="AF18" s="30"/>
      <c r="AG18" s="1"/>
    </row>
    <row r="19">
      <c r="A19" s="1"/>
      <c r="B19" s="56" t="s">
        <v>23</v>
      </c>
      <c r="C19" s="57">
        <f>C14+C15-C16-C17-C18</f>
        <v>0</v>
      </c>
      <c r="D19" s="58">
        <f>D14+D15-D17-D18-D16</f>
        <v>0</v>
      </c>
      <c r="E19" s="1"/>
      <c r="F19" s="59"/>
      <c r="G19" s="60"/>
      <c r="H19" s="60"/>
      <c r="I19" s="60"/>
      <c r="J19" s="60"/>
      <c r="K19" s="61"/>
      <c r="L19" s="1"/>
      <c r="M19" s="62"/>
      <c r="N19" s="63"/>
      <c r="O19" s="63"/>
      <c r="P19" s="64"/>
      <c r="Q19" s="1"/>
      <c r="R19" s="62"/>
      <c r="S19" s="63"/>
      <c r="T19" s="63"/>
      <c r="U19" s="63"/>
      <c r="V19" s="64"/>
      <c r="W19" s="1"/>
      <c r="X19" s="1"/>
      <c r="Y19" s="1"/>
      <c r="Z19" s="1"/>
      <c r="AA19" s="1"/>
      <c r="AB19" s="1"/>
      <c r="AC19" s="30"/>
      <c r="AD19" s="30"/>
      <c r="AE19" s="30"/>
      <c r="AF19" s="30"/>
      <c r="AG19" s="1"/>
    </row>
    <row r="20">
      <c r="A20" s="1"/>
      <c r="B20" s="65"/>
      <c r="C20" s="66"/>
      <c r="D20" s="15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30"/>
      <c r="AD20" s="30"/>
      <c r="AE20" s="30"/>
      <c r="AF20" s="30"/>
      <c r="AG20" s="1"/>
    </row>
    <row r="21">
      <c r="A21" s="1"/>
      <c r="B21" s="67" t="s">
        <v>24</v>
      </c>
      <c r="C21" s="4"/>
      <c r="D21" s="5"/>
      <c r="E21" s="1"/>
      <c r="F21" s="68" t="s">
        <v>25</v>
      </c>
      <c r="G21" s="4"/>
      <c r="H21" s="4"/>
      <c r="I21" s="4"/>
      <c r="J21" s="4"/>
      <c r="K21" s="69"/>
      <c r="L21" s="1"/>
      <c r="M21" s="70" t="s">
        <v>26</v>
      </c>
      <c r="N21" s="4"/>
      <c r="O21" s="4"/>
      <c r="P21" s="5"/>
      <c r="Q21" s="1"/>
      <c r="R21" s="71" t="s">
        <v>22</v>
      </c>
      <c r="S21" s="4"/>
      <c r="T21" s="4"/>
      <c r="U21" s="4"/>
      <c r="V21" s="5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>
      <c r="A22" s="1"/>
      <c r="B22" s="12"/>
      <c r="D22" s="13"/>
      <c r="E22" s="1"/>
      <c r="F22" s="25"/>
      <c r="G22" s="26"/>
      <c r="H22" s="26"/>
      <c r="I22" s="26"/>
      <c r="J22" s="26"/>
      <c r="K22" s="72"/>
      <c r="L22" s="1"/>
      <c r="M22" s="12"/>
      <c r="P22" s="13"/>
      <c r="Q22" s="1"/>
      <c r="R22" s="12"/>
      <c r="V22" s="13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>
      <c r="A23" s="1"/>
      <c r="B23" s="73"/>
      <c r="C23" s="74" t="s">
        <v>27</v>
      </c>
      <c r="D23" s="75" t="s">
        <v>16</v>
      </c>
      <c r="E23" s="1"/>
      <c r="F23" s="76"/>
      <c r="G23" s="77"/>
      <c r="H23" s="77" t="s">
        <v>28</v>
      </c>
      <c r="I23" s="77" t="s">
        <v>15</v>
      </c>
      <c r="J23" s="77" t="s">
        <v>16</v>
      </c>
      <c r="K23" s="78" t="s">
        <v>23</v>
      </c>
      <c r="L23" s="1"/>
      <c r="M23" s="79"/>
      <c r="N23" s="80" t="s">
        <v>15</v>
      </c>
      <c r="O23" s="80" t="s">
        <v>16</v>
      </c>
      <c r="P23" s="81" t="s">
        <v>23</v>
      </c>
      <c r="Q23" s="1"/>
      <c r="R23" s="82"/>
      <c r="S23" s="83"/>
      <c r="T23" s="83" t="s">
        <v>28</v>
      </c>
      <c r="U23" s="83" t="s">
        <v>15</v>
      </c>
      <c r="V23" s="84" t="s">
        <v>16</v>
      </c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>
      <c r="A24" s="1"/>
      <c r="B24" s="44" t="s">
        <v>29</v>
      </c>
      <c r="C24" s="85"/>
      <c r="D24" s="86"/>
      <c r="E24" s="1"/>
      <c r="F24" s="44" t="b">
        <v>0</v>
      </c>
      <c r="G24" s="187"/>
      <c r="H24" s="88"/>
      <c r="I24" s="85"/>
      <c r="J24" s="85"/>
      <c r="K24" s="89" t="str">
        <f t="shared" ref="K24:K36" si="5">if(I24="",J24,(if(J24="","",I24-J24)))</f>
        <v/>
      </c>
      <c r="L24" s="1"/>
      <c r="M24" s="44"/>
      <c r="N24" s="85"/>
      <c r="O24" s="85"/>
      <c r="P24" s="46" t="str">
        <f t="shared" ref="P24:P62" si="6">if(N24="",O24,(if(O24="","",N24-O24)))</f>
        <v/>
      </c>
      <c r="Q24" s="1"/>
      <c r="R24" s="44" t="b">
        <v>0</v>
      </c>
      <c r="S24" s="90"/>
      <c r="T24" s="88"/>
      <c r="U24" s="85"/>
      <c r="V24" s="86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>
      <c r="A25" s="1"/>
      <c r="B25" s="15" t="s">
        <v>33</v>
      </c>
      <c r="C25" s="91"/>
      <c r="D25" s="92"/>
      <c r="E25" s="1"/>
      <c r="F25" s="15" t="b">
        <v>0</v>
      </c>
      <c r="G25" s="93"/>
      <c r="H25" s="94"/>
      <c r="I25" s="91"/>
      <c r="J25" s="91"/>
      <c r="K25" s="89" t="str">
        <f t="shared" si="5"/>
        <v/>
      </c>
      <c r="L25" s="1"/>
      <c r="M25" s="15"/>
      <c r="N25" s="91"/>
      <c r="O25" s="91"/>
      <c r="P25" s="46" t="str">
        <f t="shared" si="6"/>
        <v/>
      </c>
      <c r="Q25" s="1"/>
      <c r="R25" s="15" t="b">
        <v>0</v>
      </c>
      <c r="S25" s="21"/>
      <c r="T25" s="94"/>
      <c r="U25" s="91"/>
      <c r="V25" s="92"/>
      <c r="W25" s="1"/>
      <c r="X25" s="1"/>
      <c r="Z25" s="1"/>
      <c r="AA25" s="1"/>
      <c r="AB25" s="1"/>
      <c r="AC25" s="1"/>
      <c r="AD25" s="1"/>
      <c r="AE25" s="1"/>
      <c r="AF25" s="1"/>
      <c r="AG25" s="1"/>
    </row>
    <row r="26">
      <c r="A26" s="1"/>
      <c r="B26" s="15" t="s">
        <v>37</v>
      </c>
      <c r="C26" s="91"/>
      <c r="D26" s="92"/>
      <c r="E26" s="1"/>
      <c r="F26" s="15" t="b">
        <v>0</v>
      </c>
      <c r="G26" s="93"/>
      <c r="H26" s="94"/>
      <c r="I26" s="91"/>
      <c r="J26" s="91"/>
      <c r="K26" s="89" t="str">
        <f t="shared" si="5"/>
        <v/>
      </c>
      <c r="L26" s="1"/>
      <c r="M26" s="15"/>
      <c r="N26" s="91"/>
      <c r="O26" s="91"/>
      <c r="P26" s="46" t="str">
        <f t="shared" si="6"/>
        <v/>
      </c>
      <c r="Q26" s="1"/>
      <c r="R26" s="15" t="b">
        <v>0</v>
      </c>
      <c r="S26" s="21"/>
      <c r="T26" s="94"/>
      <c r="U26" s="91"/>
      <c r="V26" s="92"/>
      <c r="W26" s="1"/>
      <c r="X26" s="1"/>
      <c r="Z26" s="1"/>
      <c r="AA26" s="1"/>
      <c r="AB26" s="1"/>
      <c r="AC26" s="1"/>
      <c r="AD26" s="1"/>
      <c r="AE26" s="1"/>
      <c r="AF26" s="1"/>
      <c r="AG26" s="1"/>
    </row>
    <row r="27">
      <c r="A27" s="1"/>
      <c r="B27" s="15" t="s">
        <v>41</v>
      </c>
      <c r="C27" s="91"/>
      <c r="D27" s="92"/>
      <c r="E27" s="1"/>
      <c r="F27" s="15" t="b">
        <v>0</v>
      </c>
      <c r="G27" s="93"/>
      <c r="H27" s="94"/>
      <c r="I27" s="91"/>
      <c r="J27" s="95"/>
      <c r="K27" s="89" t="str">
        <f t="shared" si="5"/>
        <v/>
      </c>
      <c r="L27" s="1"/>
      <c r="M27" s="15"/>
      <c r="N27" s="91"/>
      <c r="O27" s="91"/>
      <c r="P27" s="46" t="str">
        <f t="shared" si="6"/>
        <v/>
      </c>
      <c r="Q27" s="1"/>
      <c r="R27" s="15" t="b">
        <v>0</v>
      </c>
      <c r="S27" s="21"/>
      <c r="T27" s="94"/>
      <c r="U27" s="91"/>
      <c r="V27" s="92"/>
      <c r="W27" s="1"/>
      <c r="X27" s="1"/>
      <c r="Z27" s="1"/>
      <c r="AA27" s="1"/>
      <c r="AB27" s="1"/>
      <c r="AC27" s="1"/>
      <c r="AD27" s="1"/>
      <c r="AE27" s="1"/>
      <c r="AF27" s="1"/>
      <c r="AG27" s="1"/>
    </row>
    <row r="28">
      <c r="A28" s="1"/>
      <c r="B28" s="53" t="s">
        <v>45</v>
      </c>
      <c r="C28" s="96"/>
      <c r="D28" s="97"/>
      <c r="E28" s="1"/>
      <c r="F28" s="15" t="b">
        <v>0</v>
      </c>
      <c r="G28" s="93"/>
      <c r="H28" s="94"/>
      <c r="I28" s="91"/>
      <c r="J28" s="91"/>
      <c r="K28" s="89" t="str">
        <f t="shared" si="5"/>
        <v/>
      </c>
      <c r="L28" s="1"/>
      <c r="M28" s="15"/>
      <c r="N28" s="91"/>
      <c r="O28" s="91"/>
      <c r="P28" s="46" t="str">
        <f t="shared" si="6"/>
        <v/>
      </c>
      <c r="Q28" s="1"/>
      <c r="R28" s="98" t="b">
        <v>0</v>
      </c>
      <c r="S28" s="90"/>
      <c r="T28" s="94"/>
      <c r="U28" s="99"/>
      <c r="V28" s="92"/>
      <c r="W28" s="1"/>
      <c r="X28" s="1"/>
      <c r="Z28" s="1"/>
      <c r="AA28" s="1"/>
      <c r="AB28" s="1"/>
      <c r="AC28" s="1"/>
      <c r="AD28" s="1"/>
      <c r="AE28" s="1"/>
      <c r="AF28" s="1"/>
      <c r="AG28" s="1"/>
    </row>
    <row r="29">
      <c r="A29" s="1"/>
      <c r="B29" s="100" t="s">
        <v>48</v>
      </c>
      <c r="C29" s="101">
        <f t="shared" ref="C29:D29" si="7">sum(C24:C28)</f>
        <v>0</v>
      </c>
      <c r="D29" s="102">
        <f t="shared" si="7"/>
        <v>0</v>
      </c>
      <c r="E29" s="1"/>
      <c r="F29" s="15" t="b">
        <v>0</v>
      </c>
      <c r="G29" s="93"/>
      <c r="H29" s="94"/>
      <c r="I29" s="91"/>
      <c r="J29" s="91"/>
      <c r="K29" s="89" t="str">
        <f t="shared" si="5"/>
        <v/>
      </c>
      <c r="L29" s="1"/>
      <c r="M29" s="15"/>
      <c r="N29" s="91"/>
      <c r="O29" s="91"/>
      <c r="P29" s="46" t="str">
        <f t="shared" si="6"/>
        <v/>
      </c>
      <c r="Q29" s="1"/>
      <c r="R29" s="98" t="b">
        <v>0</v>
      </c>
      <c r="S29" s="90"/>
      <c r="T29" s="103"/>
      <c r="U29" s="99"/>
      <c r="V29" s="104"/>
      <c r="W29" s="1"/>
      <c r="X29" s="1"/>
      <c r="Y29" s="1"/>
      <c r="Z29" s="1"/>
      <c r="AA29" s="105"/>
      <c r="AB29" s="1"/>
      <c r="AC29" s="1"/>
      <c r="AD29" s="1"/>
      <c r="AE29" s="1"/>
      <c r="AF29" s="1"/>
      <c r="AG29" s="1"/>
    </row>
    <row r="30">
      <c r="A30" s="1"/>
      <c r="B30" s="1"/>
      <c r="C30" s="1"/>
      <c r="D30" s="1"/>
      <c r="E30" s="1"/>
      <c r="F30" s="15" t="b">
        <v>0</v>
      </c>
      <c r="G30" s="93"/>
      <c r="H30" s="94"/>
      <c r="I30" s="91"/>
      <c r="J30" s="91"/>
      <c r="K30" s="89" t="str">
        <f t="shared" si="5"/>
        <v/>
      </c>
      <c r="L30" s="1"/>
      <c r="M30" s="15"/>
      <c r="N30" s="91"/>
      <c r="O30" s="91"/>
      <c r="P30" s="46" t="str">
        <f t="shared" si="6"/>
        <v/>
      </c>
      <c r="Q30" s="1"/>
      <c r="R30" s="98" t="b">
        <v>0</v>
      </c>
      <c r="S30" s="90"/>
      <c r="T30" s="103"/>
      <c r="U30" s="99"/>
      <c r="V30" s="104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>
      <c r="A31" s="1"/>
      <c r="B31" s="106" t="s">
        <v>53</v>
      </c>
      <c r="C31" s="4"/>
      <c r="D31" s="5"/>
      <c r="E31" s="1"/>
      <c r="F31" s="15" t="b">
        <v>0</v>
      </c>
      <c r="G31" s="93"/>
      <c r="H31" s="94"/>
      <c r="I31" s="91"/>
      <c r="J31" s="91"/>
      <c r="K31" s="89" t="str">
        <f t="shared" si="5"/>
        <v/>
      </c>
      <c r="L31" s="1"/>
      <c r="M31" s="15"/>
      <c r="N31" s="91"/>
      <c r="O31" s="91"/>
      <c r="P31" s="46" t="str">
        <f t="shared" si="6"/>
        <v/>
      </c>
      <c r="Q31" s="1"/>
      <c r="R31" s="98" t="b">
        <v>0</v>
      </c>
      <c r="S31" s="90"/>
      <c r="T31" s="103"/>
      <c r="U31" s="99"/>
      <c r="V31" s="104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>
      <c r="A32" s="1"/>
      <c r="B32" s="12"/>
      <c r="D32" s="13"/>
      <c r="E32" s="1"/>
      <c r="F32" s="15" t="b">
        <v>0</v>
      </c>
      <c r="G32" s="93"/>
      <c r="H32" s="94"/>
      <c r="I32" s="91"/>
      <c r="J32" s="91"/>
      <c r="K32" s="89" t="str">
        <f t="shared" si="5"/>
        <v/>
      </c>
      <c r="L32" s="1"/>
      <c r="M32" s="15"/>
      <c r="N32" s="107"/>
      <c r="O32" s="91"/>
      <c r="P32" s="46" t="str">
        <f t="shared" si="6"/>
        <v/>
      </c>
      <c r="Q32" s="1"/>
      <c r="R32" s="98" t="b">
        <v>0</v>
      </c>
      <c r="S32" s="90"/>
      <c r="T32" s="103"/>
      <c r="U32" s="99"/>
      <c r="V32" s="104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>
      <c r="A33" s="1"/>
      <c r="B33" s="108"/>
      <c r="C33" s="109" t="s">
        <v>27</v>
      </c>
      <c r="D33" s="110" t="s">
        <v>16</v>
      </c>
      <c r="E33" s="1"/>
      <c r="F33" s="15" t="b">
        <v>0</v>
      </c>
      <c r="G33" s="93"/>
      <c r="H33" s="94"/>
      <c r="I33" s="91"/>
      <c r="J33" s="91"/>
      <c r="K33" s="89" t="str">
        <f t="shared" si="5"/>
        <v/>
      </c>
      <c r="L33" s="1"/>
      <c r="M33" s="15"/>
      <c r="N33" s="91"/>
      <c r="O33" s="91"/>
      <c r="P33" s="46" t="str">
        <f t="shared" si="6"/>
        <v/>
      </c>
      <c r="Q33" s="1"/>
      <c r="R33" s="98" t="b">
        <v>0</v>
      </c>
      <c r="S33" s="90"/>
      <c r="T33" s="103"/>
      <c r="U33" s="99"/>
      <c r="V33" s="104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>
      <c r="A34" s="1"/>
      <c r="B34" s="15" t="s">
        <v>59</v>
      </c>
      <c r="C34" s="91"/>
      <c r="D34" s="92"/>
      <c r="E34" s="1"/>
      <c r="F34" s="15" t="b">
        <v>0</v>
      </c>
      <c r="G34" s="111"/>
      <c r="H34" s="94"/>
      <c r="I34" s="91"/>
      <c r="J34" s="91"/>
      <c r="K34" s="89" t="str">
        <f t="shared" si="5"/>
        <v/>
      </c>
      <c r="L34" s="1"/>
      <c r="M34" s="15"/>
      <c r="N34" s="91"/>
      <c r="O34" s="91"/>
      <c r="P34" s="46" t="str">
        <f t="shared" si="6"/>
        <v/>
      </c>
      <c r="Q34" s="1"/>
      <c r="R34" s="98" t="b">
        <v>0</v>
      </c>
      <c r="S34" s="90"/>
      <c r="T34" s="103"/>
      <c r="U34" s="99"/>
      <c r="V34" s="104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>
      <c r="A35" s="1"/>
      <c r="B35" s="15" t="s">
        <v>62</v>
      </c>
      <c r="C35" s="91"/>
      <c r="D35" s="92"/>
      <c r="E35" s="1"/>
      <c r="F35" s="15" t="b">
        <v>0</v>
      </c>
      <c r="G35" s="93"/>
      <c r="H35" s="94"/>
      <c r="I35" s="91"/>
      <c r="J35" s="91"/>
      <c r="K35" s="89" t="str">
        <f t="shared" si="5"/>
        <v/>
      </c>
      <c r="L35" s="1"/>
      <c r="M35" s="15"/>
      <c r="N35" s="91"/>
      <c r="O35" s="91"/>
      <c r="P35" s="46" t="str">
        <f t="shared" si="6"/>
        <v/>
      </c>
      <c r="Q35" s="1"/>
      <c r="R35" s="98" t="b">
        <v>0</v>
      </c>
      <c r="S35" s="90"/>
      <c r="T35" s="103"/>
      <c r="U35" s="99"/>
      <c r="V35" s="104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>
      <c r="A36" s="1"/>
      <c r="B36" s="15" t="s">
        <v>64</v>
      </c>
      <c r="C36" s="91"/>
      <c r="D36" s="92"/>
      <c r="E36" s="1"/>
      <c r="F36" s="15" t="b">
        <v>0</v>
      </c>
      <c r="G36" s="93"/>
      <c r="H36" s="94"/>
      <c r="I36" s="91"/>
      <c r="J36" s="91"/>
      <c r="K36" s="89" t="str">
        <f t="shared" si="5"/>
        <v/>
      </c>
      <c r="L36" s="1"/>
      <c r="M36" s="15"/>
      <c r="N36" s="91"/>
      <c r="O36" s="91"/>
      <c r="P36" s="46" t="str">
        <f t="shared" si="6"/>
        <v/>
      </c>
      <c r="Q36" s="1"/>
      <c r="R36" s="98" t="b">
        <v>0</v>
      </c>
      <c r="S36" s="90"/>
      <c r="T36" s="103"/>
      <c r="U36" s="99"/>
      <c r="V36" s="104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>
      <c r="A37" s="1"/>
      <c r="B37" s="15" t="s">
        <v>66</v>
      </c>
      <c r="C37" s="91"/>
      <c r="D37" s="92"/>
      <c r="E37" s="1"/>
      <c r="F37" s="98" t="b">
        <v>0</v>
      </c>
      <c r="G37" s="112"/>
      <c r="H37" s="103"/>
      <c r="I37" s="91"/>
      <c r="J37" s="91"/>
      <c r="K37" s="89"/>
      <c r="L37" s="1"/>
      <c r="M37" s="98"/>
      <c r="N37" s="99"/>
      <c r="O37" s="99"/>
      <c r="P37" s="46" t="str">
        <f t="shared" si="6"/>
        <v/>
      </c>
      <c r="Q37" s="1"/>
      <c r="R37" s="98" t="b">
        <v>0</v>
      </c>
      <c r="S37" s="90"/>
      <c r="T37" s="103"/>
      <c r="U37" s="99"/>
      <c r="V37" s="104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>
      <c r="A38" s="1"/>
      <c r="B38" s="15" t="s">
        <v>67</v>
      </c>
      <c r="C38" s="91"/>
      <c r="D38" s="92"/>
      <c r="E38" s="1"/>
      <c r="F38" s="98" t="b">
        <v>0</v>
      </c>
      <c r="G38" s="112"/>
      <c r="H38" s="103"/>
      <c r="I38" s="99"/>
      <c r="J38" s="91"/>
      <c r="K38" s="89" t="str">
        <f t="shared" ref="K38:K62" si="8">if(I38="",J38,(if(J38="","",I38-J38)))</f>
        <v/>
      </c>
      <c r="L38" s="1"/>
      <c r="M38" s="98"/>
      <c r="N38" s="91"/>
      <c r="O38" s="91"/>
      <c r="P38" s="46" t="str">
        <f t="shared" si="6"/>
        <v/>
      </c>
      <c r="Q38" s="1"/>
      <c r="R38" s="98" t="b">
        <v>0</v>
      </c>
      <c r="S38" s="90"/>
      <c r="T38" s="103"/>
      <c r="U38" s="99"/>
      <c r="V38" s="104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>
      <c r="A39" s="1"/>
      <c r="B39" s="113" t="s">
        <v>48</v>
      </c>
      <c r="C39" s="114">
        <f>SUM(C34:C38)</f>
        <v>0</v>
      </c>
      <c r="D39" s="115">
        <f>sum(D34:D38)</f>
        <v>0</v>
      </c>
      <c r="E39" s="1"/>
      <c r="F39" s="98" t="b">
        <v>0</v>
      </c>
      <c r="G39" s="112"/>
      <c r="H39" s="103"/>
      <c r="I39" s="99"/>
      <c r="J39" s="91"/>
      <c r="K39" s="89" t="str">
        <f t="shared" si="8"/>
        <v/>
      </c>
      <c r="L39" s="1"/>
      <c r="M39" s="98"/>
      <c r="N39" s="91"/>
      <c r="O39" s="91"/>
      <c r="P39" s="46" t="str">
        <f t="shared" si="6"/>
        <v/>
      </c>
      <c r="Q39" s="1"/>
      <c r="R39" s="98" t="b">
        <v>0</v>
      </c>
      <c r="S39" s="90"/>
      <c r="T39" s="103"/>
      <c r="U39" s="99"/>
      <c r="V39" s="104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>
      <c r="A40" s="1"/>
      <c r="B40" s="116"/>
      <c r="C40" s="116"/>
      <c r="D40" s="116"/>
      <c r="E40" s="1"/>
      <c r="F40" s="98" t="b">
        <v>0</v>
      </c>
      <c r="G40" s="112"/>
      <c r="H40" s="103"/>
      <c r="I40" s="99"/>
      <c r="J40" s="91"/>
      <c r="K40" s="89" t="str">
        <f t="shared" si="8"/>
        <v/>
      </c>
      <c r="L40" s="1"/>
      <c r="M40" s="98"/>
      <c r="N40" s="99"/>
      <c r="O40" s="99"/>
      <c r="P40" s="46" t="str">
        <f t="shared" si="6"/>
        <v/>
      </c>
      <c r="Q40" s="1"/>
      <c r="R40" s="98" t="b">
        <v>0</v>
      </c>
      <c r="S40" s="90"/>
      <c r="T40" s="103"/>
      <c r="U40" s="99"/>
      <c r="V40" s="104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>
      <c r="A41" s="1"/>
      <c r="B41" s="117" t="s">
        <v>68</v>
      </c>
      <c r="C41" s="4"/>
      <c r="D41" s="5"/>
      <c r="E41" s="1"/>
      <c r="F41" s="98" t="b">
        <v>0</v>
      </c>
      <c r="G41" s="112"/>
      <c r="H41" s="103"/>
      <c r="I41" s="99"/>
      <c r="J41" s="91"/>
      <c r="K41" s="89" t="str">
        <f t="shared" si="8"/>
        <v/>
      </c>
      <c r="L41" s="1"/>
      <c r="M41" s="98"/>
      <c r="N41" s="99"/>
      <c r="O41" s="99"/>
      <c r="P41" s="46" t="str">
        <f t="shared" si="6"/>
        <v/>
      </c>
      <c r="Q41" s="1"/>
      <c r="R41" s="98" t="b">
        <v>0</v>
      </c>
      <c r="S41" s="90"/>
      <c r="T41" s="103"/>
      <c r="U41" s="99"/>
      <c r="V41" s="104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>
      <c r="A42" s="1"/>
      <c r="B42" s="12"/>
      <c r="D42" s="13"/>
      <c r="E42" s="1"/>
      <c r="F42" s="98" t="b">
        <v>0</v>
      </c>
      <c r="G42" s="112"/>
      <c r="H42" s="103"/>
      <c r="I42" s="99"/>
      <c r="J42" s="99"/>
      <c r="K42" s="89" t="str">
        <f t="shared" si="8"/>
        <v/>
      </c>
      <c r="L42" s="1"/>
      <c r="M42" s="98"/>
      <c r="N42" s="91"/>
      <c r="O42" s="91"/>
      <c r="P42" s="46" t="str">
        <f t="shared" si="6"/>
        <v/>
      </c>
      <c r="Q42" s="1"/>
      <c r="R42" s="98" t="b">
        <v>0</v>
      </c>
      <c r="S42" s="90"/>
      <c r="T42" s="103"/>
      <c r="U42" s="99"/>
      <c r="V42" s="104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>
      <c r="A43" s="1"/>
      <c r="B43" s="118"/>
      <c r="C43" s="119" t="s">
        <v>15</v>
      </c>
      <c r="D43" s="120" t="s">
        <v>16</v>
      </c>
      <c r="E43" s="1"/>
      <c r="F43" s="98" t="b">
        <v>0</v>
      </c>
      <c r="G43" s="112"/>
      <c r="H43" s="103"/>
      <c r="I43" s="99"/>
      <c r="J43" s="91"/>
      <c r="K43" s="89" t="str">
        <f t="shared" si="8"/>
        <v/>
      </c>
      <c r="L43" s="1"/>
      <c r="M43" s="98"/>
      <c r="N43" s="91"/>
      <c r="O43" s="91"/>
      <c r="P43" s="46" t="str">
        <f t="shared" si="6"/>
        <v/>
      </c>
      <c r="Q43" s="1"/>
      <c r="R43" s="98" t="b">
        <v>0</v>
      </c>
      <c r="S43" s="90"/>
      <c r="T43" s="103"/>
      <c r="U43" s="99"/>
      <c r="V43" s="104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>
      <c r="A44" s="1"/>
      <c r="B44" s="44" t="s">
        <v>57</v>
      </c>
      <c r="C44" s="85"/>
      <c r="D44" s="86"/>
      <c r="E44" s="1"/>
      <c r="F44" s="98" t="b">
        <v>0</v>
      </c>
      <c r="G44" s="112"/>
      <c r="H44" s="103"/>
      <c r="I44" s="99"/>
      <c r="J44" s="91"/>
      <c r="K44" s="89" t="str">
        <f t="shared" si="8"/>
        <v/>
      </c>
      <c r="L44" s="1"/>
      <c r="M44" s="98"/>
      <c r="N44" s="99"/>
      <c r="O44" s="91"/>
      <c r="P44" s="46" t="str">
        <f t="shared" si="6"/>
        <v/>
      </c>
      <c r="Q44" s="1"/>
      <c r="R44" s="98" t="b">
        <v>0</v>
      </c>
      <c r="S44" s="90"/>
      <c r="T44" s="103"/>
      <c r="U44" s="99"/>
      <c r="V44" s="104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>
      <c r="A45" s="1"/>
      <c r="B45" s="15" t="s">
        <v>69</v>
      </c>
      <c r="C45" s="91"/>
      <c r="D45" s="92"/>
      <c r="E45" s="1"/>
      <c r="F45" s="98" t="b">
        <v>0</v>
      </c>
      <c r="G45" s="112"/>
      <c r="H45" s="103"/>
      <c r="I45" s="99"/>
      <c r="J45" s="99"/>
      <c r="K45" s="89" t="str">
        <f t="shared" si="8"/>
        <v/>
      </c>
      <c r="L45" s="1"/>
      <c r="M45" s="98"/>
      <c r="N45" s="99"/>
      <c r="O45" s="91"/>
      <c r="P45" s="46" t="str">
        <f t="shared" si="6"/>
        <v/>
      </c>
      <c r="Q45" s="1"/>
      <c r="R45" s="98" t="b">
        <v>0</v>
      </c>
      <c r="S45" s="90"/>
      <c r="T45" s="103"/>
      <c r="U45" s="99"/>
      <c r="V45" s="104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>
      <c r="A46" s="1"/>
      <c r="B46" s="15" t="s">
        <v>70</v>
      </c>
      <c r="C46" s="91"/>
      <c r="D46" s="92"/>
      <c r="E46" s="1"/>
      <c r="F46" s="98" t="b">
        <v>0</v>
      </c>
      <c r="G46" s="112"/>
      <c r="H46" s="103"/>
      <c r="I46" s="91"/>
      <c r="J46" s="91"/>
      <c r="K46" s="89" t="str">
        <f t="shared" si="8"/>
        <v/>
      </c>
      <c r="L46" s="1"/>
      <c r="M46" s="98"/>
      <c r="N46" s="99"/>
      <c r="O46" s="91"/>
      <c r="P46" s="46" t="str">
        <f t="shared" si="6"/>
        <v/>
      </c>
      <c r="Q46" s="1"/>
      <c r="R46" s="98" t="b">
        <v>0</v>
      </c>
      <c r="S46" s="90"/>
      <c r="T46" s="103"/>
      <c r="U46" s="99"/>
      <c r="V46" s="10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>
      <c r="A47" s="1"/>
      <c r="B47" s="15" t="s">
        <v>71</v>
      </c>
      <c r="C47" s="91"/>
      <c r="D47" s="92"/>
      <c r="E47" s="1"/>
      <c r="F47" s="15" t="b">
        <v>0</v>
      </c>
      <c r="G47" s="112"/>
      <c r="H47" s="103"/>
      <c r="I47" s="91"/>
      <c r="J47" s="91"/>
      <c r="K47" s="89" t="str">
        <f t="shared" si="8"/>
        <v/>
      </c>
      <c r="L47" s="1"/>
      <c r="M47" s="98"/>
      <c r="N47" s="99"/>
      <c r="O47" s="99"/>
      <c r="P47" s="46" t="str">
        <f t="shared" si="6"/>
        <v/>
      </c>
      <c r="Q47" s="1"/>
      <c r="R47" s="98" t="b">
        <v>0</v>
      </c>
      <c r="S47" s="90"/>
      <c r="T47" s="103"/>
      <c r="U47" s="99"/>
      <c r="V47" s="104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>
      <c r="A48" s="1"/>
      <c r="B48" s="15" t="s">
        <v>72</v>
      </c>
      <c r="C48" s="91"/>
      <c r="D48" s="92"/>
      <c r="E48" s="1"/>
      <c r="F48" s="15" t="b">
        <v>0</v>
      </c>
      <c r="G48" s="112"/>
      <c r="H48" s="103"/>
      <c r="I48" s="91"/>
      <c r="J48" s="91"/>
      <c r="K48" s="89" t="str">
        <f t="shared" si="8"/>
        <v/>
      </c>
      <c r="L48" s="1"/>
      <c r="M48" s="98"/>
      <c r="N48" s="99"/>
      <c r="O48" s="99"/>
      <c r="P48" s="46" t="str">
        <f t="shared" si="6"/>
        <v/>
      </c>
      <c r="Q48" s="1"/>
      <c r="R48" s="121" t="b">
        <v>0</v>
      </c>
      <c r="S48" s="122"/>
      <c r="T48" s="123"/>
      <c r="U48" s="124"/>
      <c r="V48" s="125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>
      <c r="A49" s="1"/>
      <c r="B49" s="15"/>
      <c r="C49" s="91"/>
      <c r="D49" s="92"/>
      <c r="E49" s="1"/>
      <c r="F49" s="15" t="b">
        <v>0</v>
      </c>
      <c r="G49" s="112"/>
      <c r="H49" s="103"/>
      <c r="I49" s="91"/>
      <c r="J49" s="91"/>
      <c r="K49" s="89" t="str">
        <f t="shared" si="8"/>
        <v/>
      </c>
      <c r="L49" s="1"/>
      <c r="M49" s="98"/>
      <c r="N49" s="99"/>
      <c r="O49" s="99"/>
      <c r="P49" s="46" t="str">
        <f t="shared" si="6"/>
        <v/>
      </c>
      <c r="Q49" s="1"/>
      <c r="R49" s="126"/>
      <c r="S49" s="127" t="s">
        <v>48</v>
      </c>
      <c r="T49" s="127"/>
      <c r="U49" s="128">
        <f>sum(U24:U48)</f>
        <v>0</v>
      </c>
      <c r="V49" s="129">
        <f>SUM(V24:V48)</f>
        <v>0</v>
      </c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>
      <c r="A50" s="1"/>
      <c r="B50" s="15"/>
      <c r="C50" s="91"/>
      <c r="D50" s="92"/>
      <c r="E50" s="1"/>
      <c r="F50" s="15" t="b">
        <v>0</v>
      </c>
      <c r="G50" s="112"/>
      <c r="H50" s="103"/>
      <c r="I50" s="91"/>
      <c r="J50" s="91"/>
      <c r="K50" s="89" t="str">
        <f t="shared" si="8"/>
        <v/>
      </c>
      <c r="M50" s="98"/>
      <c r="N50" s="99"/>
      <c r="O50" s="99"/>
      <c r="P50" s="46" t="str">
        <f t="shared" si="6"/>
        <v/>
      </c>
      <c r="R50" s="33"/>
      <c r="S50" s="33"/>
      <c r="T50" s="33"/>
      <c r="U50" s="33"/>
      <c r="V50" s="33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>
      <c r="A51" s="1"/>
      <c r="B51" s="15"/>
      <c r="C51" s="91"/>
      <c r="D51" s="92"/>
      <c r="E51" s="1"/>
      <c r="F51" s="15" t="b">
        <v>0</v>
      </c>
      <c r="G51" s="112"/>
      <c r="H51" s="103"/>
      <c r="I51" s="91"/>
      <c r="J51" s="91"/>
      <c r="K51" s="89" t="str">
        <f t="shared" si="8"/>
        <v/>
      </c>
      <c r="M51" s="98"/>
      <c r="N51" s="99"/>
      <c r="O51" s="99"/>
      <c r="P51" s="46" t="str">
        <f t="shared" si="6"/>
        <v/>
      </c>
      <c r="R51" s="130" t="s">
        <v>73</v>
      </c>
      <c r="S51" s="4"/>
      <c r="T51" s="4"/>
      <c r="U51" s="4"/>
      <c r="V51" s="5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>
      <c r="A52" s="1"/>
      <c r="B52" s="15"/>
      <c r="C52" s="91"/>
      <c r="D52" s="92"/>
      <c r="E52" s="1"/>
      <c r="F52" s="15" t="b">
        <v>0</v>
      </c>
      <c r="G52" s="112"/>
      <c r="H52" s="103"/>
      <c r="I52" s="91"/>
      <c r="J52" s="91"/>
      <c r="K52" s="89" t="str">
        <f t="shared" si="8"/>
        <v/>
      </c>
      <c r="M52" s="98"/>
      <c r="N52" s="99"/>
      <c r="O52" s="99"/>
      <c r="P52" s="46" t="str">
        <f t="shared" si="6"/>
        <v/>
      </c>
      <c r="R52" s="12"/>
      <c r="V52" s="13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>
      <c r="A53" s="1"/>
      <c r="B53" s="15"/>
      <c r="C53" s="91"/>
      <c r="D53" s="92"/>
      <c r="E53" s="1"/>
      <c r="F53" s="15" t="b">
        <v>0</v>
      </c>
      <c r="G53" s="112"/>
      <c r="H53" s="103"/>
      <c r="I53" s="91"/>
      <c r="J53" s="91"/>
      <c r="K53" s="89" t="str">
        <f t="shared" si="8"/>
        <v/>
      </c>
      <c r="M53" s="98"/>
      <c r="N53" s="99"/>
      <c r="O53" s="99"/>
      <c r="P53" s="46" t="str">
        <f t="shared" si="6"/>
        <v/>
      </c>
      <c r="R53" s="131"/>
      <c r="S53" s="10"/>
      <c r="T53" s="10"/>
      <c r="U53" s="10"/>
      <c r="V53" s="1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>
      <c r="A54" s="1"/>
      <c r="B54" s="15"/>
      <c r="C54" s="91"/>
      <c r="D54" s="92"/>
      <c r="E54" s="1"/>
      <c r="F54" s="15" t="b">
        <v>0</v>
      </c>
      <c r="G54" s="112"/>
      <c r="H54" s="103"/>
      <c r="I54" s="91"/>
      <c r="J54" s="91"/>
      <c r="K54" s="89" t="str">
        <f t="shared" si="8"/>
        <v/>
      </c>
      <c r="M54" s="98"/>
      <c r="N54" s="99"/>
      <c r="O54" s="99"/>
      <c r="P54" s="46" t="str">
        <f t="shared" si="6"/>
        <v/>
      </c>
      <c r="R54" s="132"/>
      <c r="S54" s="133"/>
      <c r="T54" s="133"/>
      <c r="U54" s="133"/>
      <c r="V54" s="17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>
      <c r="A55" s="1"/>
      <c r="B55" s="15"/>
      <c r="C55" s="91"/>
      <c r="D55" s="92"/>
      <c r="E55" s="1"/>
      <c r="F55" s="15" t="b">
        <v>0</v>
      </c>
      <c r="G55" s="112"/>
      <c r="H55" s="103"/>
      <c r="I55" s="91"/>
      <c r="J55" s="91"/>
      <c r="K55" s="89" t="str">
        <f t="shared" si="8"/>
        <v/>
      </c>
      <c r="M55" s="98"/>
      <c r="N55" s="99"/>
      <c r="O55" s="99"/>
      <c r="P55" s="46" t="str">
        <f t="shared" si="6"/>
        <v/>
      </c>
      <c r="R55" s="132"/>
      <c r="S55" s="133"/>
      <c r="T55" s="133"/>
      <c r="U55" s="133"/>
      <c r="V55" s="17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>
      <c r="A56" s="1"/>
      <c r="B56" s="15"/>
      <c r="C56" s="91"/>
      <c r="D56" s="92"/>
      <c r="E56" s="1"/>
      <c r="F56" s="15" t="b">
        <v>0</v>
      </c>
      <c r="G56" s="112"/>
      <c r="H56" s="103"/>
      <c r="I56" s="91"/>
      <c r="J56" s="91"/>
      <c r="K56" s="89" t="str">
        <f t="shared" si="8"/>
        <v/>
      </c>
      <c r="M56" s="98"/>
      <c r="N56" s="99"/>
      <c r="O56" s="99"/>
      <c r="P56" s="46" t="str">
        <f t="shared" si="6"/>
        <v/>
      </c>
      <c r="R56" s="134"/>
      <c r="S56" s="133"/>
      <c r="T56" s="133"/>
      <c r="U56" s="133"/>
      <c r="V56" s="17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>
      <c r="A57" s="1"/>
      <c r="B57" s="15"/>
      <c r="C57" s="91"/>
      <c r="D57" s="92"/>
      <c r="E57" s="1"/>
      <c r="F57" s="15" t="b">
        <v>0</v>
      </c>
      <c r="G57" s="112"/>
      <c r="H57" s="103"/>
      <c r="I57" s="91"/>
      <c r="J57" s="91"/>
      <c r="K57" s="89" t="str">
        <f t="shared" si="8"/>
        <v/>
      </c>
      <c r="M57" s="98"/>
      <c r="N57" s="99"/>
      <c r="O57" s="99"/>
      <c r="P57" s="46" t="str">
        <f t="shared" si="6"/>
        <v/>
      </c>
      <c r="R57" s="134"/>
      <c r="S57" s="133"/>
      <c r="T57" s="133"/>
      <c r="U57" s="133"/>
      <c r="V57" s="17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>
      <c r="A58" s="1"/>
      <c r="B58" s="15"/>
      <c r="C58" s="91"/>
      <c r="D58" s="92"/>
      <c r="E58" s="1"/>
      <c r="F58" s="15" t="b">
        <v>0</v>
      </c>
      <c r="G58" s="112"/>
      <c r="H58" s="103"/>
      <c r="I58" s="91"/>
      <c r="J58" s="91"/>
      <c r="K58" s="89" t="str">
        <f t="shared" si="8"/>
        <v/>
      </c>
      <c r="M58" s="98"/>
      <c r="N58" s="99"/>
      <c r="O58" s="99"/>
      <c r="P58" s="46" t="str">
        <f t="shared" si="6"/>
        <v/>
      </c>
      <c r="R58" s="134"/>
      <c r="S58" s="133"/>
      <c r="T58" s="133"/>
      <c r="U58" s="133"/>
      <c r="V58" s="17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>
      <c r="A59" s="1"/>
      <c r="B59" s="15"/>
      <c r="C59" s="91"/>
      <c r="D59" s="92"/>
      <c r="E59" s="1"/>
      <c r="F59" s="15" t="b">
        <v>0</v>
      </c>
      <c r="G59" s="112"/>
      <c r="H59" s="103"/>
      <c r="I59" s="91"/>
      <c r="J59" s="91"/>
      <c r="K59" s="89" t="str">
        <f t="shared" si="8"/>
        <v/>
      </c>
      <c r="M59" s="98"/>
      <c r="N59" s="99"/>
      <c r="O59" s="99"/>
      <c r="P59" s="46" t="str">
        <f t="shared" si="6"/>
        <v/>
      </c>
      <c r="R59" s="134"/>
      <c r="S59" s="133"/>
      <c r="T59" s="133"/>
      <c r="U59" s="133"/>
      <c r="V59" s="17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>
      <c r="A60" s="1"/>
      <c r="B60" s="15"/>
      <c r="C60" s="91"/>
      <c r="D60" s="92"/>
      <c r="E60" s="1"/>
      <c r="F60" s="15" t="b">
        <v>0</v>
      </c>
      <c r="G60" s="112"/>
      <c r="H60" s="103"/>
      <c r="I60" s="91"/>
      <c r="J60" s="91"/>
      <c r="K60" s="89" t="str">
        <f t="shared" si="8"/>
        <v/>
      </c>
      <c r="M60" s="98"/>
      <c r="N60" s="99"/>
      <c r="O60" s="99"/>
      <c r="P60" s="46" t="str">
        <f t="shared" si="6"/>
        <v/>
      </c>
      <c r="R60" s="134"/>
      <c r="S60" s="133"/>
      <c r="T60" s="133"/>
      <c r="U60" s="133"/>
      <c r="V60" s="17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>
      <c r="A61" s="1"/>
      <c r="B61" s="15"/>
      <c r="C61" s="91"/>
      <c r="D61" s="92"/>
      <c r="E61" s="1"/>
      <c r="F61" s="15" t="b">
        <v>0</v>
      </c>
      <c r="G61" s="112"/>
      <c r="H61" s="103"/>
      <c r="I61" s="91"/>
      <c r="J61" s="91"/>
      <c r="K61" s="89" t="str">
        <f t="shared" si="8"/>
        <v/>
      </c>
      <c r="M61" s="98"/>
      <c r="N61" s="99"/>
      <c r="O61" s="99"/>
      <c r="P61" s="46" t="str">
        <f t="shared" si="6"/>
        <v/>
      </c>
      <c r="R61" s="134"/>
      <c r="S61" s="133"/>
      <c r="T61" s="133"/>
      <c r="U61" s="133"/>
      <c r="V61" s="17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>
      <c r="A62" s="1"/>
      <c r="B62" s="15"/>
      <c r="C62" s="91"/>
      <c r="D62" s="92"/>
      <c r="E62" s="1"/>
      <c r="F62" s="15" t="b">
        <v>0</v>
      </c>
      <c r="G62" s="112"/>
      <c r="H62" s="103"/>
      <c r="I62" s="91"/>
      <c r="J62" s="91"/>
      <c r="K62" s="89" t="str">
        <f t="shared" si="8"/>
        <v/>
      </c>
      <c r="M62" s="98"/>
      <c r="N62" s="99"/>
      <c r="O62" s="99"/>
      <c r="P62" s="46" t="str">
        <f t="shared" si="6"/>
        <v/>
      </c>
      <c r="R62" s="134"/>
      <c r="S62" s="133"/>
      <c r="T62" s="133"/>
      <c r="U62" s="133"/>
      <c r="V62" s="17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>
      <c r="A63" s="1"/>
      <c r="B63" s="135" t="s">
        <v>48</v>
      </c>
      <c r="C63" s="136">
        <f t="shared" ref="C63:D63" si="9">SUM(C44:C62)</f>
        <v>0</v>
      </c>
      <c r="D63" s="137">
        <f t="shared" si="9"/>
        <v>0</v>
      </c>
      <c r="E63" s="1"/>
      <c r="F63" s="138"/>
      <c r="G63" s="139" t="s">
        <v>48</v>
      </c>
      <c r="H63" s="140"/>
      <c r="I63" s="141">
        <f t="shared" ref="I63:J63" si="10">SUM(I24:I62)</f>
        <v>0</v>
      </c>
      <c r="J63" s="141">
        <f t="shared" si="10"/>
        <v>0</v>
      </c>
      <c r="K63" s="142">
        <f>sum(K24:K62)</f>
        <v>0</v>
      </c>
      <c r="L63" s="1"/>
      <c r="M63" s="143" t="s">
        <v>48</v>
      </c>
      <c r="N63" s="144">
        <f t="shared" ref="N63:P63" si="11">SUM(N24:N62)</f>
        <v>0</v>
      </c>
      <c r="O63" s="144">
        <f t="shared" si="11"/>
        <v>0</v>
      </c>
      <c r="P63" s="145">
        <f t="shared" si="11"/>
        <v>0</v>
      </c>
      <c r="Q63" s="1"/>
      <c r="R63" s="146"/>
      <c r="S63" s="147"/>
      <c r="T63" s="147"/>
      <c r="U63" s="147"/>
      <c r="V63" s="24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>
      <c r="A64" s="1"/>
      <c r="B64" s="1"/>
      <c r="C64" s="1"/>
      <c r="D64" s="1"/>
      <c r="E64" s="1"/>
      <c r="F64" s="1"/>
      <c r="G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>
      <c r="A65" s="1"/>
      <c r="B65" s="1"/>
      <c r="C65" s="1"/>
      <c r="D65" s="1"/>
      <c r="E65" s="1"/>
      <c r="F65" s="1"/>
      <c r="G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>
      <c r="A66" s="1"/>
      <c r="B66" s="1"/>
      <c r="C66" s="1"/>
      <c r="D66" s="1"/>
      <c r="E66" s="1"/>
      <c r="F66" s="1"/>
      <c r="G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>
      <c r="A67" s="1"/>
      <c r="B67" s="1"/>
      <c r="C67" s="1"/>
      <c r="D67" s="1"/>
      <c r="E67" s="1"/>
      <c r="F67" s="1"/>
      <c r="G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>
      <c r="A68" s="1"/>
      <c r="B68" s="1"/>
      <c r="C68" s="1"/>
      <c r="D68" s="1"/>
      <c r="E68" s="1"/>
      <c r="F68" s="1"/>
      <c r="G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>
      <c r="A69" s="1"/>
      <c r="B69" s="1"/>
      <c r="C69" s="1"/>
      <c r="D69" s="1"/>
      <c r="E69" s="1"/>
      <c r="F69" s="1"/>
      <c r="G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>
      <c r="A70" s="1"/>
      <c r="B70" s="1"/>
      <c r="C70" s="1"/>
      <c r="D70" s="1"/>
      <c r="E70" s="1"/>
      <c r="F70" s="1"/>
      <c r="G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>
      <c r="A71" s="1"/>
      <c r="B71" s="1"/>
      <c r="C71" s="1"/>
      <c r="D71" s="1"/>
      <c r="E71" s="1"/>
      <c r="F71" s="1"/>
      <c r="G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>
      <c r="A72" s="1"/>
      <c r="B72" s="1"/>
      <c r="C72" s="1"/>
      <c r="D72" s="1"/>
      <c r="E72" s="1"/>
      <c r="F72" s="1"/>
      <c r="G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>
      <c r="A73" s="1"/>
      <c r="B73" s="1"/>
      <c r="C73" s="1"/>
      <c r="D73" s="1"/>
      <c r="E73" s="1"/>
      <c r="F73" s="1"/>
      <c r="G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>
      <c r="A74" s="1"/>
      <c r="B74" s="1"/>
      <c r="C74" s="1"/>
      <c r="D74" s="1"/>
      <c r="E74" s="1"/>
      <c r="F74" s="1"/>
      <c r="G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>
      <c r="A75" s="1"/>
      <c r="B75" s="1"/>
      <c r="C75" s="1"/>
      <c r="D75" s="1"/>
      <c r="E75" s="1"/>
      <c r="F75" s="1"/>
      <c r="G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>
      <c r="A76" s="1"/>
      <c r="B76" s="1"/>
      <c r="C76" s="1"/>
      <c r="D76" s="1"/>
      <c r="E76" s="1"/>
      <c r="F76" s="1"/>
      <c r="G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>
      <c r="A77" s="1"/>
      <c r="B77" s="1"/>
      <c r="C77" s="1"/>
      <c r="D77" s="1"/>
      <c r="E77" s="1"/>
      <c r="F77" s="1"/>
      <c r="G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>
      <c r="A78" s="1"/>
      <c r="B78" s="1"/>
      <c r="C78" s="1"/>
      <c r="D78" s="1"/>
      <c r="E78" s="1"/>
      <c r="F78" s="1"/>
      <c r="G78" s="1"/>
      <c r="H78" s="189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</row>
  </sheetData>
  <mergeCells count="35">
    <mergeCell ref="B4:D5"/>
    <mergeCell ref="J4:M6"/>
    <mergeCell ref="N4:P6"/>
    <mergeCell ref="Q4:T6"/>
    <mergeCell ref="U4:V6"/>
    <mergeCell ref="C6:D6"/>
    <mergeCell ref="C7:D7"/>
    <mergeCell ref="F4:I6"/>
    <mergeCell ref="F7:I9"/>
    <mergeCell ref="J7:M9"/>
    <mergeCell ref="N7:P9"/>
    <mergeCell ref="Q7:T9"/>
    <mergeCell ref="U7:V9"/>
    <mergeCell ref="C8:D8"/>
    <mergeCell ref="C9:D9"/>
    <mergeCell ref="B11:D12"/>
    <mergeCell ref="I15:I16"/>
    <mergeCell ref="B21:D22"/>
    <mergeCell ref="F21:J22"/>
    <mergeCell ref="M21:P22"/>
    <mergeCell ref="R21:V22"/>
    <mergeCell ref="R57:V57"/>
    <mergeCell ref="R58:V58"/>
    <mergeCell ref="R59:V59"/>
    <mergeCell ref="R60:V60"/>
    <mergeCell ref="R61:V61"/>
    <mergeCell ref="R62:V62"/>
    <mergeCell ref="R63:V63"/>
    <mergeCell ref="B31:D32"/>
    <mergeCell ref="B41:D42"/>
    <mergeCell ref="R51:V52"/>
    <mergeCell ref="R53:V53"/>
    <mergeCell ref="R54:V54"/>
    <mergeCell ref="R55:V55"/>
    <mergeCell ref="R56:V56"/>
  </mergeCells>
  <conditionalFormatting sqref="K24:K62">
    <cfRule type="cellIs" dxfId="0" priority="1" operator="greaterThan">
      <formula>0</formula>
    </cfRule>
  </conditionalFormatting>
  <conditionalFormatting sqref="K24:K62">
    <cfRule type="cellIs" dxfId="1" priority="2" operator="lessThan">
      <formula>0</formula>
    </cfRule>
  </conditionalFormatting>
  <conditionalFormatting sqref="P24:P62">
    <cfRule type="cellIs" dxfId="0" priority="3" operator="greaterThan">
      <formula>0</formula>
    </cfRule>
  </conditionalFormatting>
  <conditionalFormatting sqref="P24:P62">
    <cfRule type="cellIs" dxfId="1" priority="4" operator="lessThan">
      <formula>0</formula>
    </cfRule>
  </conditionalFormatting>
  <conditionalFormatting sqref="P24:P62">
    <cfRule type="cellIs" dxfId="2" priority="5" operator="equal">
      <formula>0</formula>
    </cfRule>
  </conditionalFormatting>
  <conditionalFormatting sqref="K24:K62">
    <cfRule type="cellIs" dxfId="2" priority="6" operator="equal">
      <formula>0</formula>
    </cfRule>
  </conditionalFormatting>
  <conditionalFormatting sqref="K63">
    <cfRule type="cellIs" dxfId="3" priority="7" operator="greaterThan">
      <formula>0</formula>
    </cfRule>
  </conditionalFormatting>
  <conditionalFormatting sqref="K63">
    <cfRule type="cellIs" dxfId="4" priority="8" operator="lessThan">
      <formula>0</formula>
    </cfRule>
  </conditionalFormatting>
  <conditionalFormatting sqref="P63">
    <cfRule type="cellIs" dxfId="3" priority="9" operator="greaterThan">
      <formula>0</formula>
    </cfRule>
  </conditionalFormatting>
  <conditionalFormatting sqref="K63">
    <cfRule type="cellIs" dxfId="5" priority="10" operator="equal">
      <formula>0</formula>
    </cfRule>
  </conditionalFormatting>
  <dataValidations>
    <dataValidation type="list" allowBlank="1" showErrorMessage="1" sqref="T24:T27 T29:T48 H24:H62">
      <formula1>setting!$A$2:$A$32</formula1>
    </dataValidation>
    <dataValidation type="list" allowBlank="1" showErrorMessage="1" sqref="T28">
      <formula1>setting!$A$2:$A$33</formula1>
    </dataValidation>
    <dataValidation type="list" allowBlank="1" showErrorMessage="1" sqref="C8">
      <formula1>"$,£,€,¥,₽,₩,R$"</formula1>
    </dataValidation>
    <dataValidation type="custom" allowBlank="1" showDropDown="1" sqref="C7">
      <formula1>OR(NOT(ISERROR(DATEVALUE(C7))), AND(ISNUMBER(C7), LEFT(CELL("format", C7))="D"))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15.0"/>
    <col customWidth="1" min="5" max="5" width="1.38"/>
    <col customWidth="1" min="6" max="6" width="3.38"/>
    <col customWidth="1" min="7" max="7" width="15.5"/>
    <col customWidth="1" min="8" max="8" width="7.0"/>
    <col customWidth="1" min="12" max="12" width="2.63"/>
    <col customWidth="1" min="13" max="13" width="15.13"/>
    <col customWidth="1" min="17" max="17" width="2.63"/>
    <col customWidth="1" min="18" max="18" width="3.13"/>
    <col customWidth="1" min="19" max="19" width="13.25"/>
    <col customWidth="1" min="20" max="20" width="5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40.5" customHeight="1">
      <c r="A2" s="1"/>
      <c r="B2" s="1"/>
      <c r="C2" s="2" t="s">
        <v>93</v>
      </c>
      <c r="D2" s="1"/>
      <c r="E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ht="5.25" customHeight="1">
      <c r="A3" s="1"/>
      <c r="B3" s="1"/>
      <c r="C3" s="1"/>
      <c r="D3" s="1"/>
      <c r="E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>
      <c r="A4" s="1"/>
      <c r="B4" s="3" t="s">
        <v>1</v>
      </c>
      <c r="C4" s="4"/>
      <c r="D4" s="5"/>
      <c r="E4" s="1"/>
      <c r="F4" s="6" t="s">
        <v>2</v>
      </c>
      <c r="G4" s="4"/>
      <c r="H4" s="4"/>
      <c r="I4" s="4"/>
      <c r="J4" s="7" t="s">
        <v>3</v>
      </c>
      <c r="K4" s="4"/>
      <c r="L4" s="4"/>
      <c r="M4" s="4"/>
      <c r="N4" s="7" t="s">
        <v>4</v>
      </c>
      <c r="O4" s="4"/>
      <c r="P4" s="4"/>
      <c r="Q4" s="8" t="s">
        <v>5</v>
      </c>
      <c r="R4" s="4"/>
      <c r="S4" s="4"/>
      <c r="T4" s="4"/>
      <c r="U4" s="7" t="s">
        <v>6</v>
      </c>
      <c r="V4" s="5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>
      <c r="A5" s="1"/>
      <c r="B5" s="9"/>
      <c r="C5" s="10"/>
      <c r="D5" s="11"/>
      <c r="E5" s="1"/>
      <c r="F5" s="12"/>
      <c r="V5" s="13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>
      <c r="A6" s="1"/>
      <c r="B6" s="15" t="s">
        <v>7</v>
      </c>
      <c r="C6" s="16">
        <v>45870.0</v>
      </c>
      <c r="D6" s="17"/>
      <c r="E6" s="1"/>
      <c r="F6" s="12"/>
      <c r="V6" s="13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>
      <c r="A7" s="1"/>
      <c r="B7" s="15" t="s">
        <v>8</v>
      </c>
      <c r="C7" s="16">
        <v>45900.0</v>
      </c>
      <c r="D7" s="17"/>
      <c r="E7" s="1"/>
      <c r="F7" s="18">
        <f>D15</f>
        <v>0</v>
      </c>
      <c r="J7" s="19">
        <f>D19</f>
        <v>0</v>
      </c>
      <c r="N7" s="20">
        <f>D17</f>
        <v>0</v>
      </c>
      <c r="Q7" s="19">
        <f>D18</f>
        <v>0</v>
      </c>
      <c r="U7" s="19">
        <f>D16</f>
        <v>0</v>
      </c>
      <c r="V7" s="13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>
      <c r="A8" s="1"/>
      <c r="B8" s="15" t="s">
        <v>9</v>
      </c>
      <c r="C8" s="21" t="s">
        <v>10</v>
      </c>
      <c r="D8" s="17"/>
      <c r="E8" s="1"/>
      <c r="F8" s="12"/>
      <c r="V8" s="13"/>
      <c r="W8" s="1"/>
      <c r="X8" s="1"/>
      <c r="Y8" s="1"/>
      <c r="AA8" s="1"/>
      <c r="AB8" s="1"/>
      <c r="AC8" s="1"/>
      <c r="AD8" s="1"/>
      <c r="AE8" s="1"/>
      <c r="AF8" s="1"/>
      <c r="AG8" s="1"/>
    </row>
    <row r="9">
      <c r="A9" s="1"/>
      <c r="B9" s="22" t="s">
        <v>11</v>
      </c>
      <c r="C9" s="23">
        <f>July!J7</f>
        <v>0</v>
      </c>
      <c r="D9" s="24"/>
      <c r="E9" s="1"/>
      <c r="F9" s="25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7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>
      <c r="A10" s="1"/>
      <c r="B10" s="28" t="s">
        <v>12</v>
      </c>
      <c r="C10" s="29">
        <f>D16+D17+D18</f>
        <v>0</v>
      </c>
      <c r="D10" s="29">
        <f>D19</f>
        <v>0</v>
      </c>
      <c r="E10" s="1"/>
      <c r="W10" s="1"/>
      <c r="X10" s="1"/>
      <c r="Y10" s="1"/>
      <c r="Z10" s="1"/>
      <c r="AA10" s="1"/>
      <c r="AB10" s="1"/>
      <c r="AC10" s="30"/>
      <c r="AD10" s="30"/>
      <c r="AE10" s="30"/>
      <c r="AF10" s="30"/>
      <c r="AG10" s="1"/>
    </row>
    <row r="11">
      <c r="A11" s="1"/>
      <c r="B11" s="31" t="s">
        <v>13</v>
      </c>
      <c r="C11" s="4"/>
      <c r="D11" s="5"/>
      <c r="E11" s="1"/>
      <c r="F11" s="32"/>
      <c r="G11" s="33"/>
      <c r="H11" s="33"/>
      <c r="I11" s="33"/>
      <c r="J11" s="33"/>
      <c r="K11" s="34"/>
      <c r="M11" s="32"/>
      <c r="N11" s="33"/>
      <c r="O11" s="33"/>
      <c r="P11" s="34"/>
      <c r="R11" s="32"/>
      <c r="S11" s="33"/>
      <c r="T11" s="33"/>
      <c r="U11" s="33"/>
      <c r="V11" s="34"/>
      <c r="W11" s="1"/>
      <c r="X11" s="1"/>
      <c r="Y11" s="1"/>
      <c r="Z11" s="1"/>
      <c r="AA11" s="1"/>
      <c r="AB11" s="1"/>
      <c r="AC11" s="30"/>
      <c r="AD11" s="30"/>
      <c r="AE11" s="30"/>
      <c r="AF11" s="30"/>
      <c r="AG11" s="1"/>
    </row>
    <row r="12">
      <c r="A12" s="1"/>
      <c r="B12" s="12"/>
      <c r="D12" s="13"/>
      <c r="E12" s="1"/>
      <c r="F12" s="35"/>
      <c r="G12" s="36"/>
      <c r="H12" s="36"/>
      <c r="I12" s="36"/>
      <c r="J12" s="36"/>
      <c r="K12" s="37"/>
      <c r="L12" s="1"/>
      <c r="M12" s="38"/>
      <c r="N12" s="1"/>
      <c r="O12" s="1"/>
      <c r="P12" s="39"/>
      <c r="Q12" s="1"/>
      <c r="R12" s="38"/>
      <c r="S12" s="1"/>
      <c r="T12" s="1"/>
      <c r="U12" s="1"/>
      <c r="V12" s="39"/>
      <c r="W12" s="1"/>
      <c r="X12" s="1"/>
      <c r="Y12" s="1"/>
      <c r="Z12" s="1"/>
      <c r="AA12" s="1"/>
      <c r="AB12" s="1"/>
      <c r="AC12" s="30"/>
      <c r="AD12" s="28" t="s">
        <v>14</v>
      </c>
      <c r="AE12" s="29">
        <f>V49</f>
        <v>0</v>
      </c>
      <c r="AF12" s="30"/>
      <c r="AG12" s="1"/>
    </row>
    <row r="13">
      <c r="A13" s="1"/>
      <c r="B13" s="40"/>
      <c r="C13" s="41" t="s">
        <v>15</v>
      </c>
      <c r="D13" s="42" t="s">
        <v>16</v>
      </c>
      <c r="E13" s="1"/>
      <c r="F13" s="43"/>
      <c r="G13" s="36"/>
      <c r="H13" s="36"/>
      <c r="I13" s="36"/>
      <c r="J13" s="36"/>
      <c r="K13" s="37"/>
      <c r="L13" s="1"/>
      <c r="M13" s="38"/>
      <c r="N13" s="1"/>
      <c r="O13" s="1"/>
      <c r="P13" s="39"/>
      <c r="Q13" s="1"/>
      <c r="R13" s="38"/>
      <c r="S13" s="1"/>
      <c r="T13" s="1"/>
      <c r="U13" s="1"/>
      <c r="V13" s="39"/>
      <c r="W13" s="1"/>
      <c r="X13" s="1"/>
      <c r="Y13" s="1"/>
      <c r="Z13" s="1"/>
      <c r="AA13" s="1"/>
      <c r="AB13" s="1"/>
      <c r="AC13" s="30"/>
      <c r="AD13" s="28" t="s">
        <v>17</v>
      </c>
      <c r="AE13" s="29">
        <f>J63</f>
        <v>0</v>
      </c>
      <c r="AF13" s="30"/>
      <c r="AG13" s="1"/>
    </row>
    <row r="14">
      <c r="A14" s="1"/>
      <c r="B14" s="44" t="s">
        <v>11</v>
      </c>
      <c r="C14" s="45">
        <f>C9</f>
        <v>0</v>
      </c>
      <c r="D14" s="46">
        <f>C9</f>
        <v>0</v>
      </c>
      <c r="E14" s="47" t="s">
        <v>18</v>
      </c>
      <c r="F14" s="43"/>
      <c r="G14" s="36"/>
      <c r="H14" s="36"/>
      <c r="I14" s="36"/>
      <c r="J14" s="36"/>
      <c r="K14" s="37"/>
      <c r="L14" s="1"/>
      <c r="M14" s="38"/>
      <c r="N14" s="1"/>
      <c r="O14" s="1"/>
      <c r="P14" s="39"/>
      <c r="Q14" s="1"/>
      <c r="R14" s="38"/>
      <c r="S14" s="1"/>
      <c r="T14" s="1"/>
      <c r="U14" s="1"/>
      <c r="V14" s="39"/>
      <c r="W14" s="1"/>
      <c r="X14" s="1"/>
      <c r="Y14" s="1"/>
      <c r="Z14" s="1"/>
      <c r="AA14" s="1"/>
      <c r="AB14" s="1"/>
      <c r="AC14" s="30"/>
      <c r="AD14" s="28" t="s">
        <v>19</v>
      </c>
      <c r="AE14" s="48">
        <f>O63</f>
        <v>0</v>
      </c>
      <c r="AF14" s="30"/>
      <c r="AG14" s="1"/>
    </row>
    <row r="15">
      <c r="A15" s="1"/>
      <c r="B15" s="15" t="s">
        <v>20</v>
      </c>
      <c r="C15" s="49">
        <f t="shared" ref="C15:D15" si="1">C29+C39</f>
        <v>0</v>
      </c>
      <c r="D15" s="50">
        <f t="shared" si="1"/>
        <v>0</v>
      </c>
      <c r="E15" s="1"/>
      <c r="F15" s="43"/>
      <c r="G15" s="51"/>
      <c r="H15" s="51"/>
      <c r="I15" s="52">
        <f>D19</f>
        <v>0</v>
      </c>
      <c r="J15" s="51"/>
      <c r="K15" s="37"/>
      <c r="L15" s="1"/>
      <c r="M15" s="38"/>
      <c r="N15" s="1"/>
      <c r="O15" s="1"/>
      <c r="P15" s="39"/>
      <c r="Q15" s="1"/>
      <c r="R15" s="38"/>
      <c r="S15" s="1"/>
      <c r="T15" s="1"/>
      <c r="U15" s="1"/>
      <c r="V15" s="39"/>
      <c r="W15" s="1"/>
      <c r="X15" s="1"/>
      <c r="Y15" s="1"/>
      <c r="Z15" s="1"/>
      <c r="AA15" s="1"/>
      <c r="AB15" s="1"/>
      <c r="AC15" s="30"/>
      <c r="AD15" s="28" t="s">
        <v>21</v>
      </c>
      <c r="AE15" s="29">
        <f>D63</f>
        <v>0</v>
      </c>
      <c r="AF15" s="30"/>
      <c r="AG15" s="1"/>
    </row>
    <row r="16">
      <c r="A16" s="1"/>
      <c r="B16" s="15" t="s">
        <v>6</v>
      </c>
      <c r="C16" s="49">
        <f t="shared" ref="C16:D16" si="2">C63</f>
        <v>0</v>
      </c>
      <c r="D16" s="50">
        <f t="shared" si="2"/>
        <v>0</v>
      </c>
      <c r="E16" s="1"/>
      <c r="F16" s="43"/>
      <c r="G16" s="51"/>
      <c r="H16" s="51"/>
      <c r="J16" s="51"/>
      <c r="K16" s="37"/>
      <c r="L16" s="1"/>
      <c r="M16" s="38"/>
      <c r="N16" s="1"/>
      <c r="O16" s="1"/>
      <c r="P16" s="39"/>
      <c r="Q16" s="1"/>
      <c r="R16" s="38"/>
      <c r="S16" s="1"/>
      <c r="T16" s="1"/>
      <c r="U16" s="1"/>
      <c r="V16" s="39"/>
      <c r="W16" s="1"/>
      <c r="X16" s="1"/>
      <c r="Y16" s="1"/>
      <c r="Z16" s="1"/>
      <c r="AA16" s="1"/>
      <c r="AB16" s="1"/>
      <c r="AC16" s="30"/>
      <c r="AD16" s="30"/>
      <c r="AE16" s="30"/>
      <c r="AF16" s="30"/>
      <c r="AG16" s="1"/>
    </row>
    <row r="17">
      <c r="A17" s="1"/>
      <c r="B17" s="15" t="s">
        <v>4</v>
      </c>
      <c r="C17" s="49">
        <f t="shared" ref="C17:D17" si="3">I63+N63</f>
        <v>0</v>
      </c>
      <c r="D17" s="50">
        <f t="shared" si="3"/>
        <v>0</v>
      </c>
      <c r="E17" s="1"/>
      <c r="F17" s="43"/>
      <c r="G17" s="36"/>
      <c r="H17" s="36"/>
      <c r="I17" s="36"/>
      <c r="J17" s="36"/>
      <c r="K17" s="37"/>
      <c r="L17" s="1"/>
      <c r="M17" s="38"/>
      <c r="N17" s="1"/>
      <c r="O17" s="1"/>
      <c r="P17" s="39"/>
      <c r="Q17" s="1"/>
      <c r="R17" s="38"/>
      <c r="S17" s="1"/>
      <c r="T17" s="1"/>
      <c r="U17" s="1"/>
      <c r="V17" s="39"/>
      <c r="W17" s="1"/>
      <c r="X17" s="1"/>
      <c r="Y17" s="1"/>
      <c r="Z17" s="1"/>
      <c r="AA17" s="1"/>
      <c r="AB17" s="1"/>
      <c r="AC17" s="30"/>
      <c r="AD17" s="30"/>
      <c r="AE17" s="30"/>
      <c r="AF17" s="30"/>
      <c r="AG17" s="1"/>
    </row>
    <row r="18">
      <c r="A18" s="1"/>
      <c r="B18" s="53" t="s">
        <v>22</v>
      </c>
      <c r="C18" s="54">
        <f t="shared" ref="C18:D18" si="4">U49</f>
        <v>0</v>
      </c>
      <c r="D18" s="55">
        <f t="shared" si="4"/>
        <v>0</v>
      </c>
      <c r="E18" s="1"/>
      <c r="F18" s="43"/>
      <c r="G18" s="36"/>
      <c r="H18" s="36"/>
      <c r="I18" s="36"/>
      <c r="J18" s="36"/>
      <c r="K18" s="37"/>
      <c r="L18" s="1"/>
      <c r="M18" s="38"/>
      <c r="N18" s="1"/>
      <c r="O18" s="1"/>
      <c r="P18" s="39"/>
      <c r="Q18" s="1"/>
      <c r="R18" s="38"/>
      <c r="S18" s="1"/>
      <c r="T18" s="1"/>
      <c r="U18" s="1"/>
      <c r="V18" s="39"/>
      <c r="W18" s="1"/>
      <c r="X18" s="1"/>
      <c r="Y18" s="1"/>
      <c r="Z18" s="1"/>
      <c r="AA18" s="1"/>
      <c r="AB18" s="1"/>
      <c r="AC18" s="30"/>
      <c r="AD18" s="30"/>
      <c r="AE18" s="30"/>
      <c r="AF18" s="30"/>
      <c r="AG18" s="1"/>
    </row>
    <row r="19">
      <c r="A19" s="1"/>
      <c r="B19" s="56" t="s">
        <v>23</v>
      </c>
      <c r="C19" s="57">
        <f>C14+C15-C16-C17-C18</f>
        <v>0</v>
      </c>
      <c r="D19" s="58">
        <f>D14+D15-D17-D18-D16</f>
        <v>0</v>
      </c>
      <c r="E19" s="1"/>
      <c r="F19" s="59"/>
      <c r="G19" s="60"/>
      <c r="H19" s="60"/>
      <c r="I19" s="60"/>
      <c r="J19" s="60"/>
      <c r="K19" s="61"/>
      <c r="L19" s="1"/>
      <c r="M19" s="62"/>
      <c r="N19" s="63"/>
      <c r="O19" s="63"/>
      <c r="P19" s="64"/>
      <c r="Q19" s="1"/>
      <c r="R19" s="62"/>
      <c r="S19" s="63"/>
      <c r="T19" s="63"/>
      <c r="U19" s="63"/>
      <c r="V19" s="64"/>
      <c r="W19" s="1"/>
      <c r="X19" s="1"/>
      <c r="Y19" s="1"/>
      <c r="Z19" s="1"/>
      <c r="AA19" s="1"/>
      <c r="AB19" s="1"/>
      <c r="AC19" s="30"/>
      <c r="AD19" s="30"/>
      <c r="AE19" s="30"/>
      <c r="AF19" s="30"/>
      <c r="AG19" s="1"/>
    </row>
    <row r="20">
      <c r="A20" s="1"/>
      <c r="B20" s="65"/>
      <c r="C20" s="66"/>
      <c r="D20" s="15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30"/>
      <c r="AD20" s="30"/>
      <c r="AE20" s="30"/>
      <c r="AF20" s="30"/>
      <c r="AG20" s="1"/>
    </row>
    <row r="21">
      <c r="A21" s="1"/>
      <c r="B21" s="67" t="s">
        <v>24</v>
      </c>
      <c r="C21" s="4"/>
      <c r="D21" s="5"/>
      <c r="E21" s="1"/>
      <c r="F21" s="68" t="s">
        <v>25</v>
      </c>
      <c r="G21" s="4"/>
      <c r="H21" s="4"/>
      <c r="I21" s="4"/>
      <c r="J21" s="4"/>
      <c r="K21" s="69"/>
      <c r="L21" s="1"/>
      <c r="M21" s="70" t="s">
        <v>26</v>
      </c>
      <c r="N21" s="4"/>
      <c r="O21" s="4"/>
      <c r="P21" s="5"/>
      <c r="Q21" s="1"/>
      <c r="R21" s="71" t="s">
        <v>22</v>
      </c>
      <c r="S21" s="4"/>
      <c r="T21" s="4"/>
      <c r="U21" s="4"/>
      <c r="V21" s="5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>
      <c r="A22" s="1"/>
      <c r="B22" s="12"/>
      <c r="D22" s="13"/>
      <c r="E22" s="1"/>
      <c r="F22" s="25"/>
      <c r="G22" s="26"/>
      <c r="H22" s="26"/>
      <c r="I22" s="26"/>
      <c r="J22" s="26"/>
      <c r="K22" s="72"/>
      <c r="L22" s="1"/>
      <c r="M22" s="12"/>
      <c r="P22" s="13"/>
      <c r="Q22" s="1"/>
      <c r="R22" s="12"/>
      <c r="V22" s="13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>
      <c r="A23" s="1"/>
      <c r="B23" s="73"/>
      <c r="C23" s="74" t="s">
        <v>27</v>
      </c>
      <c r="D23" s="75" t="s">
        <v>16</v>
      </c>
      <c r="E23" s="1"/>
      <c r="F23" s="76"/>
      <c r="G23" s="77"/>
      <c r="H23" s="77" t="s">
        <v>28</v>
      </c>
      <c r="I23" s="77" t="s">
        <v>15</v>
      </c>
      <c r="J23" s="77" t="s">
        <v>16</v>
      </c>
      <c r="K23" s="78" t="s">
        <v>23</v>
      </c>
      <c r="L23" s="1"/>
      <c r="M23" s="79"/>
      <c r="N23" s="80" t="s">
        <v>15</v>
      </c>
      <c r="O23" s="80" t="s">
        <v>16</v>
      </c>
      <c r="P23" s="81" t="s">
        <v>23</v>
      </c>
      <c r="Q23" s="1"/>
      <c r="R23" s="82"/>
      <c r="S23" s="83"/>
      <c r="T23" s="83" t="s">
        <v>28</v>
      </c>
      <c r="U23" s="83" t="s">
        <v>15</v>
      </c>
      <c r="V23" s="84" t="s">
        <v>16</v>
      </c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>
      <c r="A24" s="1"/>
      <c r="B24" s="44" t="s">
        <v>29</v>
      </c>
      <c r="C24" s="85"/>
      <c r="D24" s="86"/>
      <c r="E24" s="1"/>
      <c r="F24" s="44" t="b">
        <v>0</v>
      </c>
      <c r="G24" s="187"/>
      <c r="H24" s="88"/>
      <c r="I24" s="85"/>
      <c r="J24" s="85"/>
      <c r="K24" s="89" t="str">
        <f t="shared" ref="K24:K36" si="5">if(I24="",J24,(if(J24="","",I24-J24)))</f>
        <v/>
      </c>
      <c r="L24" s="1"/>
      <c r="M24" s="44"/>
      <c r="N24" s="85"/>
      <c r="O24" s="85"/>
      <c r="P24" s="46" t="str">
        <f t="shared" ref="P24:P62" si="6">if(N24="",O24,(if(O24="","",N24-O24)))</f>
        <v/>
      </c>
      <c r="Q24" s="1"/>
      <c r="R24" s="44" t="b">
        <v>0</v>
      </c>
      <c r="S24" s="90"/>
      <c r="T24" s="88"/>
      <c r="U24" s="85"/>
      <c r="V24" s="86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>
      <c r="A25" s="1"/>
      <c r="B25" s="15" t="s">
        <v>33</v>
      </c>
      <c r="C25" s="91"/>
      <c r="D25" s="92"/>
      <c r="E25" s="1"/>
      <c r="F25" s="15" t="b">
        <v>0</v>
      </c>
      <c r="G25" s="93"/>
      <c r="H25" s="94"/>
      <c r="I25" s="91"/>
      <c r="J25" s="91"/>
      <c r="K25" s="89" t="str">
        <f t="shared" si="5"/>
        <v/>
      </c>
      <c r="L25" s="1"/>
      <c r="M25" s="15"/>
      <c r="N25" s="91"/>
      <c r="O25" s="91"/>
      <c r="P25" s="46" t="str">
        <f t="shared" si="6"/>
        <v/>
      </c>
      <c r="Q25" s="1"/>
      <c r="R25" s="15" t="b">
        <v>0</v>
      </c>
      <c r="S25" s="21"/>
      <c r="T25" s="94"/>
      <c r="U25" s="91"/>
      <c r="V25" s="92"/>
      <c r="W25" s="1"/>
      <c r="X25" s="1"/>
      <c r="Z25" s="1"/>
      <c r="AA25" s="1"/>
      <c r="AB25" s="1"/>
      <c r="AC25" s="1"/>
      <c r="AD25" s="1"/>
      <c r="AE25" s="1"/>
      <c r="AF25" s="1"/>
      <c r="AG25" s="1"/>
    </row>
    <row r="26">
      <c r="A26" s="1"/>
      <c r="B26" s="15" t="s">
        <v>37</v>
      </c>
      <c r="C26" s="91"/>
      <c r="D26" s="92"/>
      <c r="E26" s="1"/>
      <c r="F26" s="15" t="b">
        <v>0</v>
      </c>
      <c r="G26" s="93"/>
      <c r="H26" s="94"/>
      <c r="I26" s="91"/>
      <c r="J26" s="91"/>
      <c r="K26" s="89" t="str">
        <f t="shared" si="5"/>
        <v/>
      </c>
      <c r="L26" s="1"/>
      <c r="M26" s="15"/>
      <c r="N26" s="91"/>
      <c r="O26" s="91"/>
      <c r="P26" s="46" t="str">
        <f t="shared" si="6"/>
        <v/>
      </c>
      <c r="Q26" s="1"/>
      <c r="R26" s="15" t="b">
        <v>0</v>
      </c>
      <c r="S26" s="21"/>
      <c r="T26" s="94"/>
      <c r="U26" s="91"/>
      <c r="V26" s="92"/>
      <c r="W26" s="1"/>
      <c r="X26" s="1"/>
      <c r="Z26" s="1"/>
      <c r="AA26" s="1"/>
      <c r="AB26" s="1"/>
      <c r="AC26" s="1"/>
      <c r="AD26" s="1"/>
      <c r="AE26" s="1"/>
      <c r="AF26" s="1"/>
      <c r="AG26" s="1"/>
    </row>
    <row r="27">
      <c r="A27" s="1"/>
      <c r="B27" s="15" t="s">
        <v>41</v>
      </c>
      <c r="C27" s="91"/>
      <c r="D27" s="92"/>
      <c r="E27" s="1"/>
      <c r="F27" s="15" t="b">
        <v>0</v>
      </c>
      <c r="G27" s="93"/>
      <c r="H27" s="94"/>
      <c r="I27" s="91"/>
      <c r="J27" s="95"/>
      <c r="K27" s="89" t="str">
        <f t="shared" si="5"/>
        <v/>
      </c>
      <c r="L27" s="1"/>
      <c r="M27" s="15"/>
      <c r="N27" s="91"/>
      <c r="O27" s="91"/>
      <c r="P27" s="46" t="str">
        <f t="shared" si="6"/>
        <v/>
      </c>
      <c r="Q27" s="1"/>
      <c r="R27" s="15" t="b">
        <v>0</v>
      </c>
      <c r="S27" s="21"/>
      <c r="T27" s="94"/>
      <c r="U27" s="91"/>
      <c r="V27" s="92"/>
      <c r="W27" s="1"/>
      <c r="X27" s="1"/>
      <c r="Z27" s="1"/>
      <c r="AA27" s="1"/>
      <c r="AB27" s="1"/>
      <c r="AC27" s="1"/>
      <c r="AD27" s="1"/>
      <c r="AE27" s="1"/>
      <c r="AF27" s="1"/>
      <c r="AG27" s="1"/>
    </row>
    <row r="28">
      <c r="A28" s="1"/>
      <c r="B28" s="53" t="s">
        <v>45</v>
      </c>
      <c r="C28" s="96"/>
      <c r="D28" s="97"/>
      <c r="E28" s="1"/>
      <c r="F28" s="15" t="b">
        <v>0</v>
      </c>
      <c r="G28" s="93"/>
      <c r="H28" s="94"/>
      <c r="I28" s="91"/>
      <c r="J28" s="91"/>
      <c r="K28" s="89" t="str">
        <f t="shared" si="5"/>
        <v/>
      </c>
      <c r="L28" s="1"/>
      <c r="M28" s="15"/>
      <c r="N28" s="91"/>
      <c r="O28" s="91"/>
      <c r="P28" s="46" t="str">
        <f t="shared" si="6"/>
        <v/>
      </c>
      <c r="Q28" s="1"/>
      <c r="R28" s="98" t="b">
        <v>0</v>
      </c>
      <c r="S28" s="90"/>
      <c r="T28" s="94"/>
      <c r="U28" s="99"/>
      <c r="V28" s="92"/>
      <c r="W28" s="1"/>
      <c r="X28" s="1"/>
      <c r="Z28" s="1"/>
      <c r="AA28" s="1"/>
      <c r="AB28" s="1"/>
      <c r="AC28" s="1"/>
      <c r="AD28" s="1"/>
      <c r="AE28" s="1"/>
      <c r="AF28" s="1"/>
      <c r="AG28" s="1"/>
    </row>
    <row r="29">
      <c r="A29" s="1"/>
      <c r="B29" s="100" t="s">
        <v>48</v>
      </c>
      <c r="C29" s="101">
        <f t="shared" ref="C29:D29" si="7">sum(C24:C28)</f>
        <v>0</v>
      </c>
      <c r="D29" s="102">
        <f t="shared" si="7"/>
        <v>0</v>
      </c>
      <c r="E29" s="1"/>
      <c r="F29" s="15" t="b">
        <v>0</v>
      </c>
      <c r="G29" s="93"/>
      <c r="H29" s="94"/>
      <c r="I29" s="91"/>
      <c r="J29" s="91"/>
      <c r="K29" s="89" t="str">
        <f t="shared" si="5"/>
        <v/>
      </c>
      <c r="L29" s="1"/>
      <c r="M29" s="15"/>
      <c r="N29" s="91"/>
      <c r="O29" s="91"/>
      <c r="P29" s="46" t="str">
        <f t="shared" si="6"/>
        <v/>
      </c>
      <c r="Q29" s="1"/>
      <c r="R29" s="98" t="b">
        <v>0</v>
      </c>
      <c r="S29" s="90"/>
      <c r="T29" s="103"/>
      <c r="U29" s="99"/>
      <c r="V29" s="104"/>
      <c r="W29" s="1"/>
      <c r="X29" s="1"/>
      <c r="Y29" s="1"/>
      <c r="Z29" s="1"/>
      <c r="AA29" s="105"/>
      <c r="AB29" s="1"/>
      <c r="AC29" s="1"/>
      <c r="AD29" s="1"/>
      <c r="AE29" s="1"/>
      <c r="AF29" s="1"/>
      <c r="AG29" s="1"/>
    </row>
    <row r="30">
      <c r="A30" s="1"/>
      <c r="B30" s="1"/>
      <c r="C30" s="1"/>
      <c r="D30" s="1"/>
      <c r="E30" s="1"/>
      <c r="F30" s="15" t="b">
        <v>0</v>
      </c>
      <c r="G30" s="93"/>
      <c r="H30" s="94"/>
      <c r="I30" s="91"/>
      <c r="J30" s="91"/>
      <c r="K30" s="89" t="str">
        <f t="shared" si="5"/>
        <v/>
      </c>
      <c r="L30" s="1"/>
      <c r="M30" s="15"/>
      <c r="N30" s="91"/>
      <c r="O30" s="91"/>
      <c r="P30" s="46" t="str">
        <f t="shared" si="6"/>
        <v/>
      </c>
      <c r="Q30" s="1"/>
      <c r="R30" s="98" t="b">
        <v>0</v>
      </c>
      <c r="S30" s="90"/>
      <c r="T30" s="103"/>
      <c r="U30" s="99"/>
      <c r="V30" s="104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>
      <c r="A31" s="1"/>
      <c r="B31" s="106" t="s">
        <v>53</v>
      </c>
      <c r="C31" s="4"/>
      <c r="D31" s="5"/>
      <c r="E31" s="1"/>
      <c r="F31" s="15" t="b">
        <v>0</v>
      </c>
      <c r="G31" s="93"/>
      <c r="H31" s="94"/>
      <c r="I31" s="91"/>
      <c r="J31" s="91"/>
      <c r="K31" s="89" t="str">
        <f t="shared" si="5"/>
        <v/>
      </c>
      <c r="L31" s="1"/>
      <c r="M31" s="15"/>
      <c r="N31" s="91"/>
      <c r="O31" s="91"/>
      <c r="P31" s="46" t="str">
        <f t="shared" si="6"/>
        <v/>
      </c>
      <c r="Q31" s="1"/>
      <c r="R31" s="98" t="b">
        <v>0</v>
      </c>
      <c r="S31" s="90"/>
      <c r="T31" s="103"/>
      <c r="U31" s="99"/>
      <c r="V31" s="104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>
      <c r="A32" s="1"/>
      <c r="B32" s="12"/>
      <c r="D32" s="13"/>
      <c r="E32" s="1"/>
      <c r="F32" s="15" t="b">
        <v>0</v>
      </c>
      <c r="G32" s="93"/>
      <c r="H32" s="94"/>
      <c r="I32" s="91"/>
      <c r="J32" s="91"/>
      <c r="K32" s="89" t="str">
        <f t="shared" si="5"/>
        <v/>
      </c>
      <c r="L32" s="1"/>
      <c r="M32" s="15"/>
      <c r="N32" s="107"/>
      <c r="O32" s="91"/>
      <c r="P32" s="46" t="str">
        <f t="shared" si="6"/>
        <v/>
      </c>
      <c r="Q32" s="1"/>
      <c r="R32" s="98" t="b">
        <v>0</v>
      </c>
      <c r="S32" s="90"/>
      <c r="T32" s="103"/>
      <c r="U32" s="99"/>
      <c r="V32" s="104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>
      <c r="A33" s="1"/>
      <c r="B33" s="108"/>
      <c r="C33" s="109" t="s">
        <v>27</v>
      </c>
      <c r="D33" s="110" t="s">
        <v>16</v>
      </c>
      <c r="E33" s="1"/>
      <c r="F33" s="15" t="b">
        <v>0</v>
      </c>
      <c r="G33" s="93"/>
      <c r="H33" s="94"/>
      <c r="I33" s="91"/>
      <c r="J33" s="91"/>
      <c r="K33" s="89" t="str">
        <f t="shared" si="5"/>
        <v/>
      </c>
      <c r="L33" s="1"/>
      <c r="M33" s="15"/>
      <c r="N33" s="91"/>
      <c r="O33" s="91"/>
      <c r="P33" s="46" t="str">
        <f t="shared" si="6"/>
        <v/>
      </c>
      <c r="Q33" s="1"/>
      <c r="R33" s="98" t="b">
        <v>0</v>
      </c>
      <c r="S33" s="90"/>
      <c r="T33" s="103"/>
      <c r="U33" s="99"/>
      <c r="V33" s="104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>
      <c r="A34" s="1"/>
      <c r="B34" s="15" t="s">
        <v>59</v>
      </c>
      <c r="C34" s="91"/>
      <c r="D34" s="92"/>
      <c r="E34" s="1"/>
      <c r="F34" s="15" t="b">
        <v>0</v>
      </c>
      <c r="G34" s="111"/>
      <c r="H34" s="94"/>
      <c r="I34" s="91"/>
      <c r="J34" s="91"/>
      <c r="K34" s="89" t="str">
        <f t="shared" si="5"/>
        <v/>
      </c>
      <c r="L34" s="1"/>
      <c r="M34" s="15"/>
      <c r="N34" s="91"/>
      <c r="O34" s="91"/>
      <c r="P34" s="46" t="str">
        <f t="shared" si="6"/>
        <v/>
      </c>
      <c r="Q34" s="1"/>
      <c r="R34" s="98" t="b">
        <v>0</v>
      </c>
      <c r="S34" s="90"/>
      <c r="T34" s="103"/>
      <c r="U34" s="99"/>
      <c r="V34" s="104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>
      <c r="A35" s="1"/>
      <c r="B35" s="15" t="s">
        <v>62</v>
      </c>
      <c r="C35" s="91"/>
      <c r="D35" s="92"/>
      <c r="E35" s="1"/>
      <c r="F35" s="15" t="b">
        <v>0</v>
      </c>
      <c r="G35" s="93"/>
      <c r="H35" s="94"/>
      <c r="I35" s="91"/>
      <c r="J35" s="91"/>
      <c r="K35" s="89" t="str">
        <f t="shared" si="5"/>
        <v/>
      </c>
      <c r="L35" s="1"/>
      <c r="M35" s="15"/>
      <c r="N35" s="91"/>
      <c r="O35" s="91"/>
      <c r="P35" s="46" t="str">
        <f t="shared" si="6"/>
        <v/>
      </c>
      <c r="Q35" s="1"/>
      <c r="R35" s="98" t="b">
        <v>0</v>
      </c>
      <c r="S35" s="90"/>
      <c r="T35" s="103"/>
      <c r="U35" s="99"/>
      <c r="V35" s="104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>
      <c r="A36" s="1"/>
      <c r="B36" s="15" t="s">
        <v>64</v>
      </c>
      <c r="C36" s="91"/>
      <c r="D36" s="92"/>
      <c r="E36" s="1"/>
      <c r="F36" s="15" t="b">
        <v>0</v>
      </c>
      <c r="G36" s="93"/>
      <c r="H36" s="94"/>
      <c r="I36" s="91"/>
      <c r="J36" s="91"/>
      <c r="K36" s="89" t="str">
        <f t="shared" si="5"/>
        <v/>
      </c>
      <c r="L36" s="1"/>
      <c r="M36" s="15"/>
      <c r="N36" s="91"/>
      <c r="O36" s="91"/>
      <c r="P36" s="46" t="str">
        <f t="shared" si="6"/>
        <v/>
      </c>
      <c r="Q36" s="1"/>
      <c r="R36" s="98" t="b">
        <v>0</v>
      </c>
      <c r="S36" s="90"/>
      <c r="T36" s="103"/>
      <c r="U36" s="99"/>
      <c r="V36" s="104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>
      <c r="A37" s="1"/>
      <c r="B37" s="15" t="s">
        <v>66</v>
      </c>
      <c r="C37" s="91"/>
      <c r="D37" s="92"/>
      <c r="E37" s="1"/>
      <c r="F37" s="98" t="b">
        <v>0</v>
      </c>
      <c r="G37" s="112"/>
      <c r="H37" s="103"/>
      <c r="I37" s="91"/>
      <c r="J37" s="91"/>
      <c r="K37" s="89"/>
      <c r="L37" s="1"/>
      <c r="M37" s="98"/>
      <c r="N37" s="99"/>
      <c r="O37" s="99"/>
      <c r="P37" s="46" t="str">
        <f t="shared" si="6"/>
        <v/>
      </c>
      <c r="Q37" s="1"/>
      <c r="R37" s="98" t="b">
        <v>0</v>
      </c>
      <c r="S37" s="90"/>
      <c r="T37" s="103"/>
      <c r="U37" s="99"/>
      <c r="V37" s="104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>
      <c r="A38" s="1"/>
      <c r="B38" s="15" t="s">
        <v>67</v>
      </c>
      <c r="C38" s="91"/>
      <c r="D38" s="92"/>
      <c r="E38" s="1"/>
      <c r="F38" s="98" t="b">
        <v>0</v>
      </c>
      <c r="G38" s="112"/>
      <c r="H38" s="103"/>
      <c r="I38" s="99"/>
      <c r="J38" s="91"/>
      <c r="K38" s="89" t="str">
        <f t="shared" ref="K38:K62" si="8">if(I38="",J38,(if(J38="","",I38-J38)))</f>
        <v/>
      </c>
      <c r="L38" s="1"/>
      <c r="M38" s="98"/>
      <c r="N38" s="91"/>
      <c r="O38" s="91"/>
      <c r="P38" s="46" t="str">
        <f t="shared" si="6"/>
        <v/>
      </c>
      <c r="Q38" s="1"/>
      <c r="R38" s="98" t="b">
        <v>0</v>
      </c>
      <c r="S38" s="90"/>
      <c r="T38" s="103"/>
      <c r="U38" s="99"/>
      <c r="V38" s="104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>
      <c r="A39" s="1"/>
      <c r="B39" s="113" t="s">
        <v>48</v>
      </c>
      <c r="C39" s="114">
        <f>SUM(C34:C38)</f>
        <v>0</v>
      </c>
      <c r="D39" s="115">
        <f>sum(D34:D38)</f>
        <v>0</v>
      </c>
      <c r="E39" s="1"/>
      <c r="F39" s="98" t="b">
        <v>0</v>
      </c>
      <c r="G39" s="112"/>
      <c r="H39" s="103"/>
      <c r="I39" s="99"/>
      <c r="J39" s="91"/>
      <c r="K39" s="89" t="str">
        <f t="shared" si="8"/>
        <v/>
      </c>
      <c r="L39" s="1"/>
      <c r="M39" s="98"/>
      <c r="N39" s="91"/>
      <c r="O39" s="91"/>
      <c r="P39" s="46" t="str">
        <f t="shared" si="6"/>
        <v/>
      </c>
      <c r="Q39" s="1"/>
      <c r="R39" s="98" t="b">
        <v>0</v>
      </c>
      <c r="S39" s="90"/>
      <c r="T39" s="103"/>
      <c r="U39" s="99"/>
      <c r="V39" s="104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>
      <c r="A40" s="1"/>
      <c r="B40" s="116"/>
      <c r="C40" s="116"/>
      <c r="D40" s="116"/>
      <c r="E40" s="1"/>
      <c r="F40" s="98" t="b">
        <v>0</v>
      </c>
      <c r="G40" s="112"/>
      <c r="H40" s="103"/>
      <c r="I40" s="99"/>
      <c r="J40" s="91"/>
      <c r="K40" s="89" t="str">
        <f t="shared" si="8"/>
        <v/>
      </c>
      <c r="L40" s="1"/>
      <c r="M40" s="98"/>
      <c r="N40" s="99"/>
      <c r="O40" s="99"/>
      <c r="P40" s="46" t="str">
        <f t="shared" si="6"/>
        <v/>
      </c>
      <c r="Q40" s="1"/>
      <c r="R40" s="98" t="b">
        <v>0</v>
      </c>
      <c r="S40" s="90"/>
      <c r="T40" s="103"/>
      <c r="U40" s="99"/>
      <c r="V40" s="104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>
      <c r="A41" s="1"/>
      <c r="B41" s="117" t="s">
        <v>68</v>
      </c>
      <c r="C41" s="4"/>
      <c r="D41" s="5"/>
      <c r="E41" s="1"/>
      <c r="F41" s="98" t="b">
        <v>0</v>
      </c>
      <c r="G41" s="112"/>
      <c r="H41" s="103"/>
      <c r="I41" s="99"/>
      <c r="J41" s="91"/>
      <c r="K41" s="89" t="str">
        <f t="shared" si="8"/>
        <v/>
      </c>
      <c r="L41" s="1"/>
      <c r="M41" s="98"/>
      <c r="N41" s="99"/>
      <c r="O41" s="99"/>
      <c r="P41" s="46" t="str">
        <f t="shared" si="6"/>
        <v/>
      </c>
      <c r="Q41" s="1"/>
      <c r="R41" s="98" t="b">
        <v>0</v>
      </c>
      <c r="S41" s="90"/>
      <c r="T41" s="103"/>
      <c r="U41" s="99"/>
      <c r="V41" s="104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>
      <c r="A42" s="1"/>
      <c r="B42" s="12"/>
      <c r="D42" s="13"/>
      <c r="E42" s="1"/>
      <c r="F42" s="98" t="b">
        <v>0</v>
      </c>
      <c r="G42" s="112"/>
      <c r="H42" s="103"/>
      <c r="I42" s="99"/>
      <c r="J42" s="99"/>
      <c r="K42" s="89" t="str">
        <f t="shared" si="8"/>
        <v/>
      </c>
      <c r="L42" s="1"/>
      <c r="M42" s="98"/>
      <c r="N42" s="91"/>
      <c r="O42" s="91"/>
      <c r="P42" s="46" t="str">
        <f t="shared" si="6"/>
        <v/>
      </c>
      <c r="Q42" s="1"/>
      <c r="R42" s="98" t="b">
        <v>0</v>
      </c>
      <c r="S42" s="90"/>
      <c r="T42" s="103"/>
      <c r="U42" s="99"/>
      <c r="V42" s="104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>
      <c r="A43" s="1"/>
      <c r="B43" s="118"/>
      <c r="C43" s="119" t="s">
        <v>15</v>
      </c>
      <c r="D43" s="120" t="s">
        <v>16</v>
      </c>
      <c r="E43" s="1"/>
      <c r="F43" s="98" t="b">
        <v>0</v>
      </c>
      <c r="G43" s="112"/>
      <c r="H43" s="103"/>
      <c r="I43" s="99"/>
      <c r="J43" s="91"/>
      <c r="K43" s="89" t="str">
        <f t="shared" si="8"/>
        <v/>
      </c>
      <c r="L43" s="1"/>
      <c r="M43" s="98"/>
      <c r="N43" s="91"/>
      <c r="O43" s="91"/>
      <c r="P43" s="46" t="str">
        <f t="shared" si="6"/>
        <v/>
      </c>
      <c r="Q43" s="1"/>
      <c r="R43" s="98" t="b">
        <v>0</v>
      </c>
      <c r="S43" s="90"/>
      <c r="T43" s="103"/>
      <c r="U43" s="99"/>
      <c r="V43" s="104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>
      <c r="A44" s="1"/>
      <c r="B44" s="44" t="s">
        <v>57</v>
      </c>
      <c r="C44" s="85"/>
      <c r="D44" s="86"/>
      <c r="E44" s="1"/>
      <c r="F44" s="98" t="b">
        <v>0</v>
      </c>
      <c r="G44" s="112"/>
      <c r="H44" s="103"/>
      <c r="I44" s="99"/>
      <c r="J44" s="91"/>
      <c r="K44" s="89" t="str">
        <f t="shared" si="8"/>
        <v/>
      </c>
      <c r="L44" s="1"/>
      <c r="M44" s="98"/>
      <c r="N44" s="99"/>
      <c r="O44" s="91"/>
      <c r="P44" s="46" t="str">
        <f t="shared" si="6"/>
        <v/>
      </c>
      <c r="Q44" s="1"/>
      <c r="R44" s="98" t="b">
        <v>0</v>
      </c>
      <c r="S44" s="90"/>
      <c r="T44" s="103"/>
      <c r="U44" s="99"/>
      <c r="V44" s="104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>
      <c r="A45" s="1"/>
      <c r="B45" s="15" t="s">
        <v>69</v>
      </c>
      <c r="C45" s="91"/>
      <c r="D45" s="92"/>
      <c r="E45" s="1"/>
      <c r="F45" s="98" t="b">
        <v>0</v>
      </c>
      <c r="G45" s="112"/>
      <c r="H45" s="103"/>
      <c r="I45" s="99"/>
      <c r="J45" s="99"/>
      <c r="K45" s="89" t="str">
        <f t="shared" si="8"/>
        <v/>
      </c>
      <c r="L45" s="1"/>
      <c r="M45" s="98"/>
      <c r="N45" s="99"/>
      <c r="O45" s="91"/>
      <c r="P45" s="46" t="str">
        <f t="shared" si="6"/>
        <v/>
      </c>
      <c r="Q45" s="1"/>
      <c r="R45" s="98" t="b">
        <v>0</v>
      </c>
      <c r="S45" s="90"/>
      <c r="T45" s="103"/>
      <c r="U45" s="99"/>
      <c r="V45" s="104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>
      <c r="A46" s="1"/>
      <c r="B46" s="15" t="s">
        <v>70</v>
      </c>
      <c r="C46" s="91"/>
      <c r="D46" s="92"/>
      <c r="E46" s="1"/>
      <c r="F46" s="98" t="b">
        <v>0</v>
      </c>
      <c r="G46" s="112"/>
      <c r="H46" s="103"/>
      <c r="I46" s="91"/>
      <c r="J46" s="91"/>
      <c r="K46" s="89" t="str">
        <f t="shared" si="8"/>
        <v/>
      </c>
      <c r="L46" s="1"/>
      <c r="M46" s="98"/>
      <c r="N46" s="99"/>
      <c r="O46" s="91"/>
      <c r="P46" s="46" t="str">
        <f t="shared" si="6"/>
        <v/>
      </c>
      <c r="Q46" s="1"/>
      <c r="R46" s="98" t="b">
        <v>0</v>
      </c>
      <c r="S46" s="90"/>
      <c r="T46" s="103"/>
      <c r="U46" s="99"/>
      <c r="V46" s="10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>
      <c r="A47" s="1"/>
      <c r="B47" s="15" t="s">
        <v>71</v>
      </c>
      <c r="C47" s="91"/>
      <c r="D47" s="92"/>
      <c r="E47" s="1"/>
      <c r="F47" s="15" t="b">
        <v>0</v>
      </c>
      <c r="G47" s="112"/>
      <c r="H47" s="103"/>
      <c r="I47" s="91"/>
      <c r="J47" s="91"/>
      <c r="K47" s="89" t="str">
        <f t="shared" si="8"/>
        <v/>
      </c>
      <c r="L47" s="1"/>
      <c r="M47" s="98"/>
      <c r="N47" s="99"/>
      <c r="O47" s="99"/>
      <c r="P47" s="46" t="str">
        <f t="shared" si="6"/>
        <v/>
      </c>
      <c r="Q47" s="1"/>
      <c r="R47" s="98" t="b">
        <v>0</v>
      </c>
      <c r="S47" s="90"/>
      <c r="T47" s="103"/>
      <c r="U47" s="99"/>
      <c r="V47" s="104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>
      <c r="A48" s="1"/>
      <c r="B48" s="15" t="s">
        <v>72</v>
      </c>
      <c r="C48" s="91"/>
      <c r="D48" s="92"/>
      <c r="E48" s="1"/>
      <c r="F48" s="15" t="b">
        <v>0</v>
      </c>
      <c r="G48" s="112"/>
      <c r="H48" s="103"/>
      <c r="I48" s="91"/>
      <c r="J48" s="91"/>
      <c r="K48" s="89" t="str">
        <f t="shared" si="8"/>
        <v/>
      </c>
      <c r="L48" s="1"/>
      <c r="M48" s="98"/>
      <c r="N48" s="99"/>
      <c r="O48" s="99"/>
      <c r="P48" s="46" t="str">
        <f t="shared" si="6"/>
        <v/>
      </c>
      <c r="Q48" s="1"/>
      <c r="R48" s="121" t="b">
        <v>0</v>
      </c>
      <c r="S48" s="122"/>
      <c r="T48" s="123"/>
      <c r="U48" s="124"/>
      <c r="V48" s="125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>
      <c r="A49" s="1"/>
      <c r="B49" s="15"/>
      <c r="C49" s="91"/>
      <c r="D49" s="92"/>
      <c r="E49" s="1"/>
      <c r="F49" s="15" t="b">
        <v>0</v>
      </c>
      <c r="G49" s="112"/>
      <c r="H49" s="103"/>
      <c r="I49" s="91"/>
      <c r="J49" s="91"/>
      <c r="K49" s="89" t="str">
        <f t="shared" si="8"/>
        <v/>
      </c>
      <c r="L49" s="1"/>
      <c r="M49" s="98"/>
      <c r="N49" s="99"/>
      <c r="O49" s="99"/>
      <c r="P49" s="46" t="str">
        <f t="shared" si="6"/>
        <v/>
      </c>
      <c r="Q49" s="1"/>
      <c r="R49" s="126"/>
      <c r="S49" s="127" t="s">
        <v>48</v>
      </c>
      <c r="T49" s="127"/>
      <c r="U49" s="128">
        <f>sum(U24:U48)</f>
        <v>0</v>
      </c>
      <c r="V49" s="129">
        <f>SUM(V24:V48)</f>
        <v>0</v>
      </c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>
      <c r="A50" s="1"/>
      <c r="B50" s="15"/>
      <c r="C50" s="91"/>
      <c r="D50" s="92"/>
      <c r="E50" s="1"/>
      <c r="F50" s="15" t="b">
        <v>0</v>
      </c>
      <c r="G50" s="112"/>
      <c r="H50" s="103"/>
      <c r="I50" s="91"/>
      <c r="J50" s="91"/>
      <c r="K50" s="89" t="str">
        <f t="shared" si="8"/>
        <v/>
      </c>
      <c r="M50" s="98"/>
      <c r="N50" s="99"/>
      <c r="O50" s="99"/>
      <c r="P50" s="46" t="str">
        <f t="shared" si="6"/>
        <v/>
      </c>
      <c r="R50" s="33"/>
      <c r="S50" s="33"/>
      <c r="T50" s="33"/>
      <c r="U50" s="33"/>
      <c r="V50" s="33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>
      <c r="A51" s="1"/>
      <c r="B51" s="15"/>
      <c r="C51" s="91"/>
      <c r="D51" s="92"/>
      <c r="E51" s="1"/>
      <c r="F51" s="15" t="b">
        <v>0</v>
      </c>
      <c r="G51" s="112"/>
      <c r="H51" s="103"/>
      <c r="I51" s="91"/>
      <c r="J51" s="91"/>
      <c r="K51" s="89" t="str">
        <f t="shared" si="8"/>
        <v/>
      </c>
      <c r="M51" s="98"/>
      <c r="N51" s="99"/>
      <c r="O51" s="99"/>
      <c r="P51" s="46" t="str">
        <f t="shared" si="6"/>
        <v/>
      </c>
      <c r="R51" s="130" t="s">
        <v>73</v>
      </c>
      <c r="S51" s="4"/>
      <c r="T51" s="4"/>
      <c r="U51" s="4"/>
      <c r="V51" s="5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>
      <c r="A52" s="1"/>
      <c r="B52" s="15"/>
      <c r="C52" s="91"/>
      <c r="D52" s="92"/>
      <c r="E52" s="1"/>
      <c r="F52" s="15" t="b">
        <v>0</v>
      </c>
      <c r="G52" s="112"/>
      <c r="H52" s="103"/>
      <c r="I52" s="91"/>
      <c r="J52" s="91"/>
      <c r="K52" s="89" t="str">
        <f t="shared" si="8"/>
        <v/>
      </c>
      <c r="M52" s="98"/>
      <c r="N52" s="99"/>
      <c r="O52" s="99"/>
      <c r="P52" s="46" t="str">
        <f t="shared" si="6"/>
        <v/>
      </c>
      <c r="R52" s="12"/>
      <c r="V52" s="13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>
      <c r="A53" s="1"/>
      <c r="B53" s="15"/>
      <c r="C53" s="91"/>
      <c r="D53" s="92"/>
      <c r="E53" s="1"/>
      <c r="F53" s="15" t="b">
        <v>0</v>
      </c>
      <c r="G53" s="112"/>
      <c r="H53" s="103"/>
      <c r="I53" s="91"/>
      <c r="J53" s="91"/>
      <c r="K53" s="89" t="str">
        <f t="shared" si="8"/>
        <v/>
      </c>
      <c r="M53" s="98"/>
      <c r="N53" s="99"/>
      <c r="O53" s="99"/>
      <c r="P53" s="46" t="str">
        <f t="shared" si="6"/>
        <v/>
      </c>
      <c r="R53" s="131"/>
      <c r="S53" s="10"/>
      <c r="T53" s="10"/>
      <c r="U53" s="10"/>
      <c r="V53" s="1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>
      <c r="A54" s="1"/>
      <c r="B54" s="15"/>
      <c r="C54" s="91"/>
      <c r="D54" s="92"/>
      <c r="E54" s="1"/>
      <c r="F54" s="15" t="b">
        <v>0</v>
      </c>
      <c r="G54" s="112"/>
      <c r="H54" s="103"/>
      <c r="I54" s="91"/>
      <c r="J54" s="91"/>
      <c r="K54" s="89" t="str">
        <f t="shared" si="8"/>
        <v/>
      </c>
      <c r="M54" s="98"/>
      <c r="N54" s="99"/>
      <c r="O54" s="99"/>
      <c r="P54" s="46" t="str">
        <f t="shared" si="6"/>
        <v/>
      </c>
      <c r="R54" s="132"/>
      <c r="S54" s="133"/>
      <c r="T54" s="133"/>
      <c r="U54" s="133"/>
      <c r="V54" s="17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>
      <c r="A55" s="1"/>
      <c r="B55" s="15"/>
      <c r="C55" s="91"/>
      <c r="D55" s="92"/>
      <c r="E55" s="1"/>
      <c r="F55" s="15" t="b">
        <v>0</v>
      </c>
      <c r="G55" s="112"/>
      <c r="H55" s="103"/>
      <c r="I55" s="91"/>
      <c r="J55" s="91"/>
      <c r="K55" s="89" t="str">
        <f t="shared" si="8"/>
        <v/>
      </c>
      <c r="M55" s="98"/>
      <c r="N55" s="99"/>
      <c r="O55" s="99"/>
      <c r="P55" s="46" t="str">
        <f t="shared" si="6"/>
        <v/>
      </c>
      <c r="R55" s="132"/>
      <c r="S55" s="133"/>
      <c r="T55" s="133"/>
      <c r="U55" s="133"/>
      <c r="V55" s="17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>
      <c r="A56" s="1"/>
      <c r="B56" s="15"/>
      <c r="C56" s="91"/>
      <c r="D56" s="92"/>
      <c r="E56" s="1"/>
      <c r="F56" s="15" t="b">
        <v>0</v>
      </c>
      <c r="G56" s="112"/>
      <c r="H56" s="103"/>
      <c r="I56" s="91"/>
      <c r="J56" s="91"/>
      <c r="K56" s="89" t="str">
        <f t="shared" si="8"/>
        <v/>
      </c>
      <c r="M56" s="98"/>
      <c r="N56" s="99"/>
      <c r="O56" s="99"/>
      <c r="P56" s="46" t="str">
        <f t="shared" si="6"/>
        <v/>
      </c>
      <c r="R56" s="134"/>
      <c r="S56" s="133"/>
      <c r="T56" s="133"/>
      <c r="U56" s="133"/>
      <c r="V56" s="17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>
      <c r="A57" s="1"/>
      <c r="B57" s="15"/>
      <c r="C57" s="91"/>
      <c r="D57" s="92"/>
      <c r="E57" s="1"/>
      <c r="F57" s="15" t="b">
        <v>0</v>
      </c>
      <c r="G57" s="112"/>
      <c r="H57" s="103"/>
      <c r="I57" s="91"/>
      <c r="J57" s="91"/>
      <c r="K57" s="89" t="str">
        <f t="shared" si="8"/>
        <v/>
      </c>
      <c r="M57" s="98"/>
      <c r="N57" s="99"/>
      <c r="O57" s="99"/>
      <c r="P57" s="46" t="str">
        <f t="shared" si="6"/>
        <v/>
      </c>
      <c r="R57" s="134"/>
      <c r="S57" s="133"/>
      <c r="T57" s="133"/>
      <c r="U57" s="133"/>
      <c r="V57" s="17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>
      <c r="A58" s="1"/>
      <c r="B58" s="15"/>
      <c r="C58" s="91"/>
      <c r="D58" s="92"/>
      <c r="E58" s="1"/>
      <c r="F58" s="15" t="b">
        <v>0</v>
      </c>
      <c r="G58" s="112"/>
      <c r="H58" s="103"/>
      <c r="I58" s="91"/>
      <c r="J58" s="91"/>
      <c r="K58" s="89" t="str">
        <f t="shared" si="8"/>
        <v/>
      </c>
      <c r="M58" s="98"/>
      <c r="N58" s="99"/>
      <c r="O58" s="99"/>
      <c r="P58" s="46" t="str">
        <f t="shared" si="6"/>
        <v/>
      </c>
      <c r="R58" s="134"/>
      <c r="S58" s="133"/>
      <c r="T58" s="133"/>
      <c r="U58" s="133"/>
      <c r="V58" s="17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>
      <c r="A59" s="1"/>
      <c r="B59" s="15"/>
      <c r="C59" s="91"/>
      <c r="D59" s="92"/>
      <c r="E59" s="1"/>
      <c r="F59" s="15" t="b">
        <v>0</v>
      </c>
      <c r="G59" s="112"/>
      <c r="H59" s="103"/>
      <c r="I59" s="91"/>
      <c r="J59" s="91"/>
      <c r="K59" s="89" t="str">
        <f t="shared" si="8"/>
        <v/>
      </c>
      <c r="M59" s="98"/>
      <c r="N59" s="99"/>
      <c r="O59" s="99"/>
      <c r="P59" s="46" t="str">
        <f t="shared" si="6"/>
        <v/>
      </c>
      <c r="R59" s="134"/>
      <c r="S59" s="133"/>
      <c r="T59" s="133"/>
      <c r="U59" s="133"/>
      <c r="V59" s="17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>
      <c r="A60" s="1"/>
      <c r="B60" s="15"/>
      <c r="C60" s="91"/>
      <c r="D60" s="92"/>
      <c r="E60" s="1"/>
      <c r="F60" s="15" t="b">
        <v>0</v>
      </c>
      <c r="G60" s="112"/>
      <c r="H60" s="103"/>
      <c r="I60" s="91"/>
      <c r="J60" s="91"/>
      <c r="K60" s="89" t="str">
        <f t="shared" si="8"/>
        <v/>
      </c>
      <c r="M60" s="98"/>
      <c r="N60" s="99"/>
      <c r="O60" s="99"/>
      <c r="P60" s="46" t="str">
        <f t="shared" si="6"/>
        <v/>
      </c>
      <c r="R60" s="134"/>
      <c r="S60" s="133"/>
      <c r="T60" s="133"/>
      <c r="U60" s="133"/>
      <c r="V60" s="17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>
      <c r="A61" s="1"/>
      <c r="B61" s="15"/>
      <c r="C61" s="91"/>
      <c r="D61" s="92"/>
      <c r="E61" s="1"/>
      <c r="F61" s="15" t="b">
        <v>0</v>
      </c>
      <c r="G61" s="112"/>
      <c r="H61" s="103"/>
      <c r="I61" s="91"/>
      <c r="J61" s="91"/>
      <c r="K61" s="89" t="str">
        <f t="shared" si="8"/>
        <v/>
      </c>
      <c r="M61" s="98"/>
      <c r="N61" s="99"/>
      <c r="O61" s="99"/>
      <c r="P61" s="46" t="str">
        <f t="shared" si="6"/>
        <v/>
      </c>
      <c r="R61" s="134"/>
      <c r="S61" s="133"/>
      <c r="T61" s="133"/>
      <c r="U61" s="133"/>
      <c r="V61" s="17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>
      <c r="A62" s="1"/>
      <c r="B62" s="15"/>
      <c r="C62" s="91"/>
      <c r="D62" s="92"/>
      <c r="E62" s="1"/>
      <c r="F62" s="15" t="b">
        <v>0</v>
      </c>
      <c r="G62" s="112"/>
      <c r="H62" s="103"/>
      <c r="I62" s="91"/>
      <c r="J62" s="91"/>
      <c r="K62" s="89" t="str">
        <f t="shared" si="8"/>
        <v/>
      </c>
      <c r="M62" s="98"/>
      <c r="N62" s="99"/>
      <c r="O62" s="99"/>
      <c r="P62" s="46" t="str">
        <f t="shared" si="6"/>
        <v/>
      </c>
      <c r="R62" s="134"/>
      <c r="S62" s="133"/>
      <c r="T62" s="133"/>
      <c r="U62" s="133"/>
      <c r="V62" s="17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>
      <c r="A63" s="1"/>
      <c r="B63" s="135" t="s">
        <v>48</v>
      </c>
      <c r="C63" s="136">
        <f t="shared" ref="C63:D63" si="9">SUM(C44:C62)</f>
        <v>0</v>
      </c>
      <c r="D63" s="137">
        <f t="shared" si="9"/>
        <v>0</v>
      </c>
      <c r="E63" s="1"/>
      <c r="F63" s="138"/>
      <c r="G63" s="139" t="s">
        <v>48</v>
      </c>
      <c r="H63" s="140"/>
      <c r="I63" s="141">
        <f t="shared" ref="I63:J63" si="10">SUM(I24:I62)</f>
        <v>0</v>
      </c>
      <c r="J63" s="141">
        <f t="shared" si="10"/>
        <v>0</v>
      </c>
      <c r="K63" s="142">
        <f>sum(K24:K62)</f>
        <v>0</v>
      </c>
      <c r="L63" s="1"/>
      <c r="M63" s="143" t="s">
        <v>48</v>
      </c>
      <c r="N63" s="144">
        <f t="shared" ref="N63:P63" si="11">SUM(N24:N62)</f>
        <v>0</v>
      </c>
      <c r="O63" s="144">
        <f t="shared" si="11"/>
        <v>0</v>
      </c>
      <c r="P63" s="145">
        <f t="shared" si="11"/>
        <v>0</v>
      </c>
      <c r="Q63" s="1"/>
      <c r="R63" s="146"/>
      <c r="S63" s="147"/>
      <c r="T63" s="147"/>
      <c r="U63" s="147"/>
      <c r="V63" s="24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>
      <c r="A64" s="1"/>
      <c r="B64" s="1"/>
      <c r="C64" s="1"/>
      <c r="D64" s="1"/>
      <c r="E64" s="1"/>
      <c r="F64" s="1"/>
      <c r="G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>
      <c r="A65" s="1"/>
      <c r="B65" s="1"/>
      <c r="C65" s="1"/>
      <c r="D65" s="1"/>
      <c r="E65" s="1"/>
      <c r="F65" s="1"/>
      <c r="G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>
      <c r="A66" s="1"/>
      <c r="B66" s="1"/>
      <c r="C66" s="1"/>
      <c r="D66" s="1"/>
      <c r="E66" s="1"/>
      <c r="F66" s="1"/>
      <c r="G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>
      <c r="A67" s="1"/>
      <c r="B67" s="1"/>
      <c r="C67" s="1"/>
      <c r="D67" s="1"/>
      <c r="E67" s="1"/>
      <c r="F67" s="1"/>
      <c r="G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>
      <c r="A68" s="1"/>
      <c r="B68" s="1"/>
      <c r="C68" s="1"/>
      <c r="D68" s="1"/>
      <c r="E68" s="1"/>
      <c r="F68" s="1"/>
      <c r="G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>
      <c r="A69" s="1"/>
      <c r="B69" s="1"/>
      <c r="C69" s="1"/>
      <c r="D69" s="1"/>
      <c r="E69" s="1"/>
      <c r="F69" s="1"/>
      <c r="G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>
      <c r="A70" s="1"/>
      <c r="B70" s="1"/>
      <c r="C70" s="1"/>
      <c r="D70" s="1"/>
      <c r="E70" s="1"/>
      <c r="F70" s="1"/>
      <c r="G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>
      <c r="A71" s="1"/>
      <c r="B71" s="1"/>
      <c r="C71" s="1"/>
      <c r="D71" s="1"/>
      <c r="E71" s="1"/>
      <c r="F71" s="1"/>
      <c r="G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>
      <c r="A72" s="1"/>
      <c r="B72" s="1"/>
      <c r="C72" s="1"/>
      <c r="D72" s="1"/>
      <c r="E72" s="1"/>
      <c r="F72" s="1"/>
      <c r="G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>
      <c r="A73" s="1"/>
      <c r="B73" s="1"/>
      <c r="C73" s="1"/>
      <c r="D73" s="1"/>
      <c r="E73" s="1"/>
      <c r="F73" s="1"/>
      <c r="G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>
      <c r="A74" s="1"/>
      <c r="B74" s="1"/>
      <c r="C74" s="1"/>
      <c r="D74" s="1"/>
      <c r="E74" s="1"/>
      <c r="F74" s="1"/>
      <c r="G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>
      <c r="A75" s="1"/>
      <c r="B75" s="1"/>
      <c r="C75" s="1"/>
      <c r="D75" s="1"/>
      <c r="E75" s="1"/>
      <c r="F75" s="1"/>
      <c r="G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>
      <c r="A76" s="1"/>
      <c r="B76" s="1"/>
      <c r="C76" s="1"/>
      <c r="D76" s="1"/>
      <c r="E76" s="1"/>
      <c r="F76" s="1"/>
      <c r="G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>
      <c r="A77" s="1"/>
      <c r="B77" s="1"/>
      <c r="C77" s="1"/>
      <c r="D77" s="1"/>
      <c r="E77" s="1"/>
      <c r="F77" s="1"/>
      <c r="G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>
      <c r="A78" s="1"/>
      <c r="B78" s="1"/>
      <c r="C78" s="1"/>
      <c r="D78" s="1"/>
      <c r="E78" s="1"/>
      <c r="F78" s="1"/>
      <c r="G78" s="1"/>
      <c r="H78" s="189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</row>
  </sheetData>
  <mergeCells count="35">
    <mergeCell ref="B4:D5"/>
    <mergeCell ref="J4:M6"/>
    <mergeCell ref="N4:P6"/>
    <mergeCell ref="Q4:T6"/>
    <mergeCell ref="U4:V6"/>
    <mergeCell ref="C6:D6"/>
    <mergeCell ref="C7:D7"/>
    <mergeCell ref="F4:I6"/>
    <mergeCell ref="F7:I9"/>
    <mergeCell ref="J7:M9"/>
    <mergeCell ref="N7:P9"/>
    <mergeCell ref="Q7:T9"/>
    <mergeCell ref="U7:V9"/>
    <mergeCell ref="C8:D8"/>
    <mergeCell ref="C9:D9"/>
    <mergeCell ref="B11:D12"/>
    <mergeCell ref="I15:I16"/>
    <mergeCell ref="B21:D22"/>
    <mergeCell ref="F21:J22"/>
    <mergeCell ref="M21:P22"/>
    <mergeCell ref="R21:V22"/>
    <mergeCell ref="R57:V57"/>
    <mergeCell ref="R58:V58"/>
    <mergeCell ref="R59:V59"/>
    <mergeCell ref="R60:V60"/>
    <mergeCell ref="R61:V61"/>
    <mergeCell ref="R62:V62"/>
    <mergeCell ref="R63:V63"/>
    <mergeCell ref="B31:D32"/>
    <mergeCell ref="B41:D42"/>
    <mergeCell ref="R51:V52"/>
    <mergeCell ref="R53:V53"/>
    <mergeCell ref="R54:V54"/>
    <mergeCell ref="R55:V55"/>
    <mergeCell ref="R56:V56"/>
  </mergeCells>
  <conditionalFormatting sqref="K24:K62">
    <cfRule type="cellIs" dxfId="0" priority="1" operator="greaterThan">
      <formula>0</formula>
    </cfRule>
  </conditionalFormatting>
  <conditionalFormatting sqref="K24:K62">
    <cfRule type="cellIs" dxfId="1" priority="2" operator="lessThan">
      <formula>0</formula>
    </cfRule>
  </conditionalFormatting>
  <conditionalFormatting sqref="P24:P62">
    <cfRule type="cellIs" dxfId="0" priority="3" operator="greaterThan">
      <formula>0</formula>
    </cfRule>
  </conditionalFormatting>
  <conditionalFormatting sqref="P24:P62">
    <cfRule type="cellIs" dxfId="1" priority="4" operator="lessThan">
      <formula>0</formula>
    </cfRule>
  </conditionalFormatting>
  <conditionalFormatting sqref="P24:P62">
    <cfRule type="cellIs" dxfId="2" priority="5" operator="equal">
      <formula>0</formula>
    </cfRule>
  </conditionalFormatting>
  <conditionalFormatting sqref="K24:K62">
    <cfRule type="cellIs" dxfId="2" priority="6" operator="equal">
      <formula>0</formula>
    </cfRule>
  </conditionalFormatting>
  <conditionalFormatting sqref="K63">
    <cfRule type="cellIs" dxfId="3" priority="7" operator="greaterThan">
      <formula>0</formula>
    </cfRule>
  </conditionalFormatting>
  <conditionalFormatting sqref="K63">
    <cfRule type="cellIs" dxfId="4" priority="8" operator="lessThan">
      <formula>0</formula>
    </cfRule>
  </conditionalFormatting>
  <conditionalFormatting sqref="P63">
    <cfRule type="cellIs" dxfId="3" priority="9" operator="greaterThan">
      <formula>0</formula>
    </cfRule>
  </conditionalFormatting>
  <conditionalFormatting sqref="K63">
    <cfRule type="cellIs" dxfId="5" priority="10" operator="equal">
      <formula>0</formula>
    </cfRule>
  </conditionalFormatting>
  <dataValidations>
    <dataValidation type="list" allowBlank="1" showErrorMessage="1" sqref="T24:T27 T29:T48 H24:H62">
      <formula1>setting!$A$2:$A$32</formula1>
    </dataValidation>
    <dataValidation type="list" allowBlank="1" showErrorMessage="1" sqref="T28">
      <formula1>setting!$A$2:$A$33</formula1>
    </dataValidation>
    <dataValidation type="list" allowBlank="1" showErrorMessage="1" sqref="C8">
      <formula1>"$,£,€,¥,₽,₩,R$"</formula1>
    </dataValidation>
    <dataValidation type="custom" allowBlank="1" showDropDown="1" sqref="C7">
      <formula1>OR(NOT(ISERROR(DATEVALUE(C7))), AND(ISNUMBER(C7), LEFT(CELL("format", C7))="D"))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15.0"/>
    <col customWidth="1" min="5" max="5" width="1.38"/>
    <col customWidth="1" min="6" max="6" width="3.38"/>
    <col customWidth="1" min="7" max="7" width="15.5"/>
    <col customWidth="1" min="8" max="8" width="7.0"/>
    <col customWidth="1" min="12" max="12" width="2.63"/>
    <col customWidth="1" min="13" max="13" width="15.13"/>
    <col customWidth="1" min="17" max="17" width="2.63"/>
    <col customWidth="1" min="18" max="18" width="3.13"/>
    <col customWidth="1" min="19" max="19" width="13.25"/>
    <col customWidth="1" min="20" max="20" width="5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40.5" customHeight="1">
      <c r="A2" s="1"/>
      <c r="B2" s="1"/>
      <c r="C2" s="2" t="s">
        <v>94</v>
      </c>
      <c r="D2" s="1"/>
      <c r="E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ht="5.25" customHeight="1">
      <c r="A3" s="1"/>
      <c r="B3" s="1"/>
      <c r="C3" s="1"/>
      <c r="D3" s="1"/>
      <c r="E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>
      <c r="A4" s="1"/>
      <c r="B4" s="3" t="s">
        <v>1</v>
      </c>
      <c r="C4" s="4"/>
      <c r="D4" s="5"/>
      <c r="E4" s="1"/>
      <c r="F4" s="6" t="s">
        <v>2</v>
      </c>
      <c r="G4" s="4"/>
      <c r="H4" s="4"/>
      <c r="I4" s="4"/>
      <c r="J4" s="7" t="s">
        <v>3</v>
      </c>
      <c r="K4" s="4"/>
      <c r="L4" s="4"/>
      <c r="M4" s="4"/>
      <c r="N4" s="7" t="s">
        <v>4</v>
      </c>
      <c r="O4" s="4"/>
      <c r="P4" s="4"/>
      <c r="Q4" s="8" t="s">
        <v>5</v>
      </c>
      <c r="R4" s="4"/>
      <c r="S4" s="4"/>
      <c r="T4" s="4"/>
      <c r="U4" s="7" t="s">
        <v>6</v>
      </c>
      <c r="V4" s="5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>
      <c r="A5" s="1"/>
      <c r="B5" s="9"/>
      <c r="C5" s="10"/>
      <c r="D5" s="11"/>
      <c r="E5" s="1"/>
      <c r="F5" s="12"/>
      <c r="V5" s="13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>
      <c r="A6" s="1"/>
      <c r="B6" s="15" t="s">
        <v>7</v>
      </c>
      <c r="C6" s="16">
        <v>45901.0</v>
      </c>
      <c r="D6" s="17"/>
      <c r="E6" s="1"/>
      <c r="F6" s="12"/>
      <c r="V6" s="13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>
      <c r="A7" s="1"/>
      <c r="B7" s="15" t="s">
        <v>8</v>
      </c>
      <c r="C7" s="16">
        <v>45930.0</v>
      </c>
      <c r="D7" s="17"/>
      <c r="E7" s="1"/>
      <c r="F7" s="18">
        <f>D15</f>
        <v>0</v>
      </c>
      <c r="J7" s="19">
        <f>D19</f>
        <v>0</v>
      </c>
      <c r="N7" s="20">
        <f>D17</f>
        <v>0</v>
      </c>
      <c r="Q7" s="19">
        <f>D18</f>
        <v>0</v>
      </c>
      <c r="U7" s="19">
        <f>D16</f>
        <v>0</v>
      </c>
      <c r="V7" s="13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>
      <c r="A8" s="1"/>
      <c r="B8" s="15" t="s">
        <v>9</v>
      </c>
      <c r="C8" s="21" t="s">
        <v>10</v>
      </c>
      <c r="D8" s="17"/>
      <c r="E8" s="1"/>
      <c r="F8" s="12"/>
      <c r="V8" s="13"/>
      <c r="W8" s="1"/>
      <c r="X8" s="1"/>
      <c r="Y8" s="1"/>
      <c r="AA8" s="1"/>
      <c r="AB8" s="1"/>
      <c r="AC8" s="1"/>
      <c r="AD8" s="1"/>
      <c r="AE8" s="1"/>
      <c r="AF8" s="1"/>
      <c r="AG8" s="1"/>
    </row>
    <row r="9">
      <c r="A9" s="1"/>
      <c r="B9" s="22" t="s">
        <v>11</v>
      </c>
      <c r="C9" s="23">
        <f>August!J7</f>
        <v>0</v>
      </c>
      <c r="D9" s="24"/>
      <c r="E9" s="1"/>
      <c r="F9" s="25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7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>
      <c r="A10" s="1"/>
      <c r="B10" s="28" t="s">
        <v>12</v>
      </c>
      <c r="C10" s="29">
        <f>D16+D17+D18</f>
        <v>0</v>
      </c>
      <c r="D10" s="29">
        <f>D19</f>
        <v>0</v>
      </c>
      <c r="E10" s="1"/>
      <c r="W10" s="1"/>
      <c r="X10" s="1"/>
      <c r="Y10" s="1"/>
      <c r="Z10" s="1"/>
      <c r="AA10" s="1"/>
      <c r="AB10" s="1"/>
      <c r="AC10" s="30"/>
      <c r="AD10" s="30"/>
      <c r="AE10" s="30"/>
      <c r="AF10" s="30"/>
      <c r="AG10" s="1"/>
    </row>
    <row r="11">
      <c r="A11" s="1"/>
      <c r="B11" s="31" t="s">
        <v>13</v>
      </c>
      <c r="C11" s="4"/>
      <c r="D11" s="5"/>
      <c r="E11" s="1"/>
      <c r="F11" s="32"/>
      <c r="G11" s="33"/>
      <c r="H11" s="33"/>
      <c r="I11" s="33"/>
      <c r="J11" s="33"/>
      <c r="K11" s="34"/>
      <c r="M11" s="32"/>
      <c r="N11" s="33"/>
      <c r="O11" s="33"/>
      <c r="P11" s="34"/>
      <c r="R11" s="32"/>
      <c r="S11" s="33"/>
      <c r="T11" s="33"/>
      <c r="U11" s="33"/>
      <c r="V11" s="34"/>
      <c r="W11" s="1"/>
      <c r="X11" s="1"/>
      <c r="Y11" s="1"/>
      <c r="Z11" s="1"/>
      <c r="AA11" s="1"/>
      <c r="AB11" s="1"/>
      <c r="AC11" s="30"/>
      <c r="AD11" s="30"/>
      <c r="AE11" s="30"/>
      <c r="AF11" s="30"/>
      <c r="AG11" s="1"/>
    </row>
    <row r="12">
      <c r="A12" s="1"/>
      <c r="B12" s="12"/>
      <c r="D12" s="13"/>
      <c r="E12" s="1"/>
      <c r="F12" s="35"/>
      <c r="G12" s="36"/>
      <c r="H12" s="36"/>
      <c r="I12" s="36"/>
      <c r="J12" s="36"/>
      <c r="K12" s="37"/>
      <c r="L12" s="1"/>
      <c r="M12" s="38"/>
      <c r="N12" s="1"/>
      <c r="O12" s="1"/>
      <c r="P12" s="39"/>
      <c r="Q12" s="1"/>
      <c r="R12" s="38"/>
      <c r="S12" s="1"/>
      <c r="T12" s="1"/>
      <c r="U12" s="1"/>
      <c r="V12" s="39"/>
      <c r="W12" s="1"/>
      <c r="X12" s="1"/>
      <c r="Y12" s="1"/>
      <c r="Z12" s="1"/>
      <c r="AA12" s="1"/>
      <c r="AB12" s="1"/>
      <c r="AC12" s="30"/>
      <c r="AD12" s="28" t="s">
        <v>14</v>
      </c>
      <c r="AE12" s="29">
        <f>V49</f>
        <v>0</v>
      </c>
      <c r="AF12" s="30"/>
      <c r="AG12" s="1"/>
    </row>
    <row r="13">
      <c r="A13" s="1"/>
      <c r="B13" s="40"/>
      <c r="C13" s="41" t="s">
        <v>15</v>
      </c>
      <c r="D13" s="42" t="s">
        <v>16</v>
      </c>
      <c r="E13" s="1"/>
      <c r="F13" s="43"/>
      <c r="G13" s="36"/>
      <c r="H13" s="36"/>
      <c r="I13" s="36"/>
      <c r="J13" s="36"/>
      <c r="K13" s="37"/>
      <c r="L13" s="1"/>
      <c r="M13" s="38"/>
      <c r="N13" s="1"/>
      <c r="O13" s="1"/>
      <c r="P13" s="39"/>
      <c r="Q13" s="1"/>
      <c r="R13" s="38"/>
      <c r="S13" s="1"/>
      <c r="T13" s="1"/>
      <c r="U13" s="1"/>
      <c r="V13" s="39"/>
      <c r="W13" s="1"/>
      <c r="X13" s="1"/>
      <c r="Y13" s="1"/>
      <c r="Z13" s="1"/>
      <c r="AA13" s="1"/>
      <c r="AB13" s="1"/>
      <c r="AC13" s="30"/>
      <c r="AD13" s="28" t="s">
        <v>17</v>
      </c>
      <c r="AE13" s="29">
        <f>J63</f>
        <v>0</v>
      </c>
      <c r="AF13" s="30"/>
      <c r="AG13" s="1"/>
    </row>
    <row r="14">
      <c r="A14" s="1"/>
      <c r="B14" s="44" t="s">
        <v>11</v>
      </c>
      <c r="C14" s="45">
        <f>C9</f>
        <v>0</v>
      </c>
      <c r="D14" s="46">
        <f>C9</f>
        <v>0</v>
      </c>
      <c r="E14" s="47" t="s">
        <v>18</v>
      </c>
      <c r="F14" s="43"/>
      <c r="G14" s="36"/>
      <c r="H14" s="36"/>
      <c r="I14" s="36"/>
      <c r="J14" s="36"/>
      <c r="K14" s="37"/>
      <c r="L14" s="1"/>
      <c r="M14" s="38"/>
      <c r="N14" s="1"/>
      <c r="O14" s="1"/>
      <c r="P14" s="39"/>
      <c r="Q14" s="1"/>
      <c r="R14" s="38"/>
      <c r="S14" s="1"/>
      <c r="T14" s="1"/>
      <c r="U14" s="1"/>
      <c r="V14" s="39"/>
      <c r="W14" s="1"/>
      <c r="X14" s="1"/>
      <c r="Y14" s="1"/>
      <c r="Z14" s="1"/>
      <c r="AA14" s="1"/>
      <c r="AB14" s="1"/>
      <c r="AC14" s="30"/>
      <c r="AD14" s="28" t="s">
        <v>19</v>
      </c>
      <c r="AE14" s="48">
        <f>O63</f>
        <v>0</v>
      </c>
      <c r="AF14" s="30"/>
      <c r="AG14" s="1"/>
    </row>
    <row r="15">
      <c r="A15" s="1"/>
      <c r="B15" s="15" t="s">
        <v>20</v>
      </c>
      <c r="C15" s="49">
        <f t="shared" ref="C15:D15" si="1">C29+C39</f>
        <v>0</v>
      </c>
      <c r="D15" s="50">
        <f t="shared" si="1"/>
        <v>0</v>
      </c>
      <c r="E15" s="1"/>
      <c r="F15" s="43"/>
      <c r="G15" s="51"/>
      <c r="H15" s="51"/>
      <c r="I15" s="52">
        <f>D19</f>
        <v>0</v>
      </c>
      <c r="J15" s="51"/>
      <c r="K15" s="37"/>
      <c r="L15" s="1"/>
      <c r="M15" s="38"/>
      <c r="N15" s="1"/>
      <c r="O15" s="1"/>
      <c r="P15" s="39"/>
      <c r="Q15" s="1"/>
      <c r="R15" s="38"/>
      <c r="S15" s="1"/>
      <c r="T15" s="1"/>
      <c r="U15" s="1"/>
      <c r="V15" s="39"/>
      <c r="W15" s="1"/>
      <c r="X15" s="1"/>
      <c r="Y15" s="1"/>
      <c r="Z15" s="1"/>
      <c r="AA15" s="1"/>
      <c r="AB15" s="1"/>
      <c r="AC15" s="30"/>
      <c r="AD15" s="28" t="s">
        <v>21</v>
      </c>
      <c r="AE15" s="29">
        <f>D63</f>
        <v>0</v>
      </c>
      <c r="AF15" s="30"/>
      <c r="AG15" s="1"/>
    </row>
    <row r="16">
      <c r="A16" s="1"/>
      <c r="B16" s="15" t="s">
        <v>6</v>
      </c>
      <c r="C16" s="49">
        <f t="shared" ref="C16:D16" si="2">C63</f>
        <v>0</v>
      </c>
      <c r="D16" s="50">
        <f t="shared" si="2"/>
        <v>0</v>
      </c>
      <c r="E16" s="1"/>
      <c r="F16" s="43"/>
      <c r="G16" s="51"/>
      <c r="H16" s="51"/>
      <c r="J16" s="51"/>
      <c r="K16" s="37"/>
      <c r="L16" s="1"/>
      <c r="M16" s="38"/>
      <c r="N16" s="1"/>
      <c r="O16" s="1"/>
      <c r="P16" s="39"/>
      <c r="Q16" s="1"/>
      <c r="R16" s="38"/>
      <c r="S16" s="1"/>
      <c r="T16" s="1"/>
      <c r="U16" s="1"/>
      <c r="V16" s="39"/>
      <c r="W16" s="1"/>
      <c r="X16" s="1"/>
      <c r="Y16" s="1"/>
      <c r="Z16" s="1"/>
      <c r="AA16" s="1"/>
      <c r="AB16" s="1"/>
      <c r="AC16" s="30"/>
      <c r="AD16" s="30"/>
      <c r="AE16" s="30"/>
      <c r="AF16" s="30"/>
      <c r="AG16" s="1"/>
    </row>
    <row r="17">
      <c r="A17" s="1"/>
      <c r="B17" s="15" t="s">
        <v>4</v>
      </c>
      <c r="C17" s="49">
        <f t="shared" ref="C17:D17" si="3">I63+N63</f>
        <v>0</v>
      </c>
      <c r="D17" s="50">
        <f t="shared" si="3"/>
        <v>0</v>
      </c>
      <c r="E17" s="1"/>
      <c r="F17" s="43"/>
      <c r="G17" s="36"/>
      <c r="H17" s="36"/>
      <c r="I17" s="36"/>
      <c r="J17" s="36"/>
      <c r="K17" s="37"/>
      <c r="L17" s="1"/>
      <c r="M17" s="38"/>
      <c r="N17" s="1"/>
      <c r="O17" s="1"/>
      <c r="P17" s="39"/>
      <c r="Q17" s="1"/>
      <c r="R17" s="38"/>
      <c r="S17" s="1"/>
      <c r="T17" s="1"/>
      <c r="U17" s="1"/>
      <c r="V17" s="39"/>
      <c r="W17" s="1"/>
      <c r="X17" s="1"/>
      <c r="Y17" s="1"/>
      <c r="Z17" s="1"/>
      <c r="AA17" s="1"/>
      <c r="AB17" s="1"/>
      <c r="AC17" s="30"/>
      <c r="AD17" s="30"/>
      <c r="AE17" s="30"/>
      <c r="AF17" s="30"/>
      <c r="AG17" s="1"/>
    </row>
    <row r="18">
      <c r="A18" s="1"/>
      <c r="B18" s="53" t="s">
        <v>22</v>
      </c>
      <c r="C18" s="54">
        <f t="shared" ref="C18:D18" si="4">U49</f>
        <v>0</v>
      </c>
      <c r="D18" s="55">
        <f t="shared" si="4"/>
        <v>0</v>
      </c>
      <c r="E18" s="1"/>
      <c r="F18" s="43"/>
      <c r="G18" s="36"/>
      <c r="H18" s="36"/>
      <c r="I18" s="36"/>
      <c r="J18" s="36"/>
      <c r="K18" s="37"/>
      <c r="L18" s="1"/>
      <c r="M18" s="38"/>
      <c r="N18" s="1"/>
      <c r="O18" s="1"/>
      <c r="P18" s="39"/>
      <c r="Q18" s="1"/>
      <c r="R18" s="38"/>
      <c r="S18" s="1"/>
      <c r="T18" s="1"/>
      <c r="U18" s="1"/>
      <c r="V18" s="39"/>
      <c r="W18" s="1"/>
      <c r="X18" s="1"/>
      <c r="Y18" s="1"/>
      <c r="Z18" s="1"/>
      <c r="AA18" s="1"/>
      <c r="AB18" s="1"/>
      <c r="AC18" s="30"/>
      <c r="AD18" s="30"/>
      <c r="AE18" s="30"/>
      <c r="AF18" s="30"/>
      <c r="AG18" s="1"/>
    </row>
    <row r="19">
      <c r="A19" s="1"/>
      <c r="B19" s="56" t="s">
        <v>23</v>
      </c>
      <c r="C19" s="57">
        <f>C14+C15-C16-C17-C18</f>
        <v>0</v>
      </c>
      <c r="D19" s="58">
        <f>D14+D15-D17-D18-D16</f>
        <v>0</v>
      </c>
      <c r="E19" s="1"/>
      <c r="F19" s="59"/>
      <c r="G19" s="60"/>
      <c r="H19" s="60"/>
      <c r="I19" s="60"/>
      <c r="J19" s="60"/>
      <c r="K19" s="61"/>
      <c r="L19" s="1"/>
      <c r="M19" s="62"/>
      <c r="N19" s="63"/>
      <c r="O19" s="63"/>
      <c r="P19" s="64"/>
      <c r="Q19" s="1"/>
      <c r="R19" s="62"/>
      <c r="S19" s="63"/>
      <c r="T19" s="63"/>
      <c r="U19" s="63"/>
      <c r="V19" s="64"/>
      <c r="W19" s="1"/>
      <c r="X19" s="1"/>
      <c r="Y19" s="1"/>
      <c r="Z19" s="1"/>
      <c r="AA19" s="1"/>
      <c r="AB19" s="1"/>
      <c r="AC19" s="30"/>
      <c r="AD19" s="30"/>
      <c r="AE19" s="30"/>
      <c r="AF19" s="30"/>
      <c r="AG19" s="1"/>
    </row>
    <row r="20">
      <c r="A20" s="1"/>
      <c r="B20" s="65"/>
      <c r="C20" s="66"/>
      <c r="D20" s="15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30"/>
      <c r="AD20" s="30"/>
      <c r="AE20" s="30"/>
      <c r="AF20" s="30"/>
      <c r="AG20" s="1"/>
    </row>
    <row r="21">
      <c r="A21" s="1"/>
      <c r="B21" s="67" t="s">
        <v>24</v>
      </c>
      <c r="C21" s="4"/>
      <c r="D21" s="5"/>
      <c r="E21" s="1"/>
      <c r="F21" s="68" t="s">
        <v>25</v>
      </c>
      <c r="G21" s="4"/>
      <c r="H21" s="4"/>
      <c r="I21" s="4"/>
      <c r="J21" s="4"/>
      <c r="K21" s="69"/>
      <c r="L21" s="1"/>
      <c r="M21" s="70" t="s">
        <v>26</v>
      </c>
      <c r="N21" s="4"/>
      <c r="O21" s="4"/>
      <c r="P21" s="5"/>
      <c r="Q21" s="1"/>
      <c r="R21" s="71" t="s">
        <v>22</v>
      </c>
      <c r="S21" s="4"/>
      <c r="T21" s="4"/>
      <c r="U21" s="4"/>
      <c r="V21" s="5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>
      <c r="A22" s="1"/>
      <c r="B22" s="12"/>
      <c r="D22" s="13"/>
      <c r="E22" s="1"/>
      <c r="F22" s="25"/>
      <c r="G22" s="26"/>
      <c r="H22" s="26"/>
      <c r="I22" s="26"/>
      <c r="J22" s="26"/>
      <c r="K22" s="72"/>
      <c r="L22" s="1"/>
      <c r="M22" s="12"/>
      <c r="P22" s="13"/>
      <c r="Q22" s="1"/>
      <c r="R22" s="12"/>
      <c r="V22" s="13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>
      <c r="A23" s="1"/>
      <c r="B23" s="73"/>
      <c r="C23" s="74" t="s">
        <v>27</v>
      </c>
      <c r="D23" s="75" t="s">
        <v>16</v>
      </c>
      <c r="E23" s="1"/>
      <c r="F23" s="76"/>
      <c r="G23" s="77"/>
      <c r="H23" s="77" t="s">
        <v>28</v>
      </c>
      <c r="I23" s="77" t="s">
        <v>15</v>
      </c>
      <c r="J23" s="77" t="s">
        <v>16</v>
      </c>
      <c r="K23" s="78" t="s">
        <v>23</v>
      </c>
      <c r="L23" s="1"/>
      <c r="M23" s="79"/>
      <c r="N23" s="80" t="s">
        <v>15</v>
      </c>
      <c r="O23" s="80" t="s">
        <v>16</v>
      </c>
      <c r="P23" s="81" t="s">
        <v>23</v>
      </c>
      <c r="Q23" s="1"/>
      <c r="R23" s="82"/>
      <c r="S23" s="83"/>
      <c r="T23" s="83" t="s">
        <v>28</v>
      </c>
      <c r="U23" s="83" t="s">
        <v>15</v>
      </c>
      <c r="V23" s="84" t="s">
        <v>16</v>
      </c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>
      <c r="A24" s="1"/>
      <c r="B24" s="44" t="s">
        <v>29</v>
      </c>
      <c r="C24" s="85"/>
      <c r="D24" s="86"/>
      <c r="E24" s="1"/>
      <c r="F24" s="44" t="b">
        <v>0</v>
      </c>
      <c r="G24" s="187"/>
      <c r="H24" s="88"/>
      <c r="I24" s="85"/>
      <c r="J24" s="85"/>
      <c r="K24" s="89" t="str">
        <f t="shared" ref="K24:K36" si="5">if(I24="",J24,(if(J24="","",I24-J24)))</f>
        <v/>
      </c>
      <c r="L24" s="1"/>
      <c r="M24" s="44"/>
      <c r="N24" s="85"/>
      <c r="O24" s="85"/>
      <c r="P24" s="46" t="str">
        <f t="shared" ref="P24:P62" si="6">if(N24="",O24,(if(O24="","",N24-O24)))</f>
        <v/>
      </c>
      <c r="Q24" s="1"/>
      <c r="R24" s="44" t="b">
        <v>0</v>
      </c>
      <c r="S24" s="90"/>
      <c r="T24" s="88"/>
      <c r="U24" s="85"/>
      <c r="V24" s="86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>
      <c r="A25" s="1"/>
      <c r="B25" s="15" t="s">
        <v>33</v>
      </c>
      <c r="C25" s="91"/>
      <c r="D25" s="92"/>
      <c r="E25" s="1"/>
      <c r="F25" s="15" t="b">
        <v>0</v>
      </c>
      <c r="G25" s="93"/>
      <c r="H25" s="94"/>
      <c r="I25" s="91"/>
      <c r="J25" s="91"/>
      <c r="K25" s="89" t="str">
        <f t="shared" si="5"/>
        <v/>
      </c>
      <c r="L25" s="1"/>
      <c r="M25" s="15"/>
      <c r="N25" s="91"/>
      <c r="O25" s="91"/>
      <c r="P25" s="46" t="str">
        <f t="shared" si="6"/>
        <v/>
      </c>
      <c r="Q25" s="1"/>
      <c r="R25" s="15" t="b">
        <v>0</v>
      </c>
      <c r="S25" s="21"/>
      <c r="T25" s="94"/>
      <c r="U25" s="91"/>
      <c r="V25" s="92"/>
      <c r="W25" s="1"/>
      <c r="X25" s="1"/>
      <c r="Z25" s="1"/>
      <c r="AA25" s="1"/>
      <c r="AB25" s="1"/>
      <c r="AC25" s="1"/>
      <c r="AD25" s="1"/>
      <c r="AE25" s="1"/>
      <c r="AF25" s="1"/>
      <c r="AG25" s="1"/>
    </row>
    <row r="26">
      <c r="A26" s="1"/>
      <c r="B26" s="15" t="s">
        <v>37</v>
      </c>
      <c r="C26" s="91"/>
      <c r="D26" s="92"/>
      <c r="E26" s="1"/>
      <c r="F26" s="15" t="b">
        <v>0</v>
      </c>
      <c r="G26" s="93"/>
      <c r="H26" s="94"/>
      <c r="I26" s="91"/>
      <c r="J26" s="91"/>
      <c r="K26" s="89" t="str">
        <f t="shared" si="5"/>
        <v/>
      </c>
      <c r="L26" s="1"/>
      <c r="M26" s="15"/>
      <c r="N26" s="91"/>
      <c r="O26" s="91"/>
      <c r="P26" s="46" t="str">
        <f t="shared" si="6"/>
        <v/>
      </c>
      <c r="Q26" s="1"/>
      <c r="R26" s="15" t="b">
        <v>0</v>
      </c>
      <c r="S26" s="21"/>
      <c r="T26" s="94"/>
      <c r="U26" s="91"/>
      <c r="V26" s="92"/>
      <c r="W26" s="1"/>
      <c r="X26" s="1"/>
      <c r="Z26" s="1"/>
      <c r="AA26" s="1"/>
      <c r="AB26" s="1"/>
      <c r="AC26" s="1"/>
      <c r="AD26" s="1"/>
      <c r="AE26" s="1"/>
      <c r="AF26" s="1"/>
      <c r="AG26" s="1"/>
    </row>
    <row r="27">
      <c r="A27" s="1"/>
      <c r="B27" s="15" t="s">
        <v>41</v>
      </c>
      <c r="C27" s="91"/>
      <c r="D27" s="92"/>
      <c r="E27" s="1"/>
      <c r="F27" s="15" t="b">
        <v>0</v>
      </c>
      <c r="G27" s="93"/>
      <c r="H27" s="94"/>
      <c r="I27" s="91"/>
      <c r="J27" s="95"/>
      <c r="K27" s="89" t="str">
        <f t="shared" si="5"/>
        <v/>
      </c>
      <c r="L27" s="1"/>
      <c r="M27" s="15"/>
      <c r="N27" s="91"/>
      <c r="O27" s="91"/>
      <c r="P27" s="46" t="str">
        <f t="shared" si="6"/>
        <v/>
      </c>
      <c r="Q27" s="1"/>
      <c r="R27" s="15" t="b">
        <v>0</v>
      </c>
      <c r="S27" s="21"/>
      <c r="T27" s="94"/>
      <c r="U27" s="91"/>
      <c r="V27" s="92"/>
      <c r="W27" s="1"/>
      <c r="X27" s="1"/>
      <c r="Z27" s="1"/>
      <c r="AA27" s="1"/>
      <c r="AB27" s="1"/>
      <c r="AC27" s="1"/>
      <c r="AD27" s="1"/>
      <c r="AE27" s="1"/>
      <c r="AF27" s="1"/>
      <c r="AG27" s="1"/>
    </row>
    <row r="28">
      <c r="A28" s="1"/>
      <c r="B28" s="53" t="s">
        <v>45</v>
      </c>
      <c r="C28" s="96"/>
      <c r="D28" s="97"/>
      <c r="E28" s="1"/>
      <c r="F28" s="15" t="b">
        <v>0</v>
      </c>
      <c r="G28" s="93"/>
      <c r="H28" s="94"/>
      <c r="I28" s="91"/>
      <c r="J28" s="91"/>
      <c r="K28" s="89" t="str">
        <f t="shared" si="5"/>
        <v/>
      </c>
      <c r="L28" s="1"/>
      <c r="M28" s="15"/>
      <c r="N28" s="91"/>
      <c r="O28" s="91"/>
      <c r="P28" s="46" t="str">
        <f t="shared" si="6"/>
        <v/>
      </c>
      <c r="Q28" s="1"/>
      <c r="R28" s="98" t="b">
        <v>0</v>
      </c>
      <c r="S28" s="90"/>
      <c r="T28" s="94"/>
      <c r="U28" s="99"/>
      <c r="V28" s="92"/>
      <c r="W28" s="1"/>
      <c r="X28" s="1"/>
      <c r="Z28" s="1"/>
      <c r="AA28" s="1"/>
      <c r="AB28" s="1"/>
      <c r="AC28" s="1"/>
      <c r="AD28" s="1"/>
      <c r="AE28" s="1"/>
      <c r="AF28" s="1"/>
      <c r="AG28" s="1"/>
    </row>
    <row r="29">
      <c r="A29" s="1"/>
      <c r="B29" s="100" t="s">
        <v>48</v>
      </c>
      <c r="C29" s="101">
        <f t="shared" ref="C29:D29" si="7">sum(C24:C28)</f>
        <v>0</v>
      </c>
      <c r="D29" s="102">
        <f t="shared" si="7"/>
        <v>0</v>
      </c>
      <c r="E29" s="1"/>
      <c r="F29" s="15" t="b">
        <v>0</v>
      </c>
      <c r="G29" s="93"/>
      <c r="H29" s="94"/>
      <c r="I29" s="91"/>
      <c r="J29" s="91"/>
      <c r="K29" s="89" t="str">
        <f t="shared" si="5"/>
        <v/>
      </c>
      <c r="L29" s="1"/>
      <c r="M29" s="15"/>
      <c r="N29" s="91"/>
      <c r="O29" s="91"/>
      <c r="P29" s="46" t="str">
        <f t="shared" si="6"/>
        <v/>
      </c>
      <c r="Q29" s="1"/>
      <c r="R29" s="98" t="b">
        <v>0</v>
      </c>
      <c r="S29" s="90"/>
      <c r="T29" s="103"/>
      <c r="U29" s="99"/>
      <c r="V29" s="104"/>
      <c r="W29" s="1"/>
      <c r="X29" s="1"/>
      <c r="Y29" s="1"/>
      <c r="Z29" s="1"/>
      <c r="AA29" s="105"/>
      <c r="AB29" s="1"/>
      <c r="AC29" s="1"/>
      <c r="AD29" s="1"/>
      <c r="AE29" s="1"/>
      <c r="AF29" s="1"/>
      <c r="AG29" s="1"/>
    </row>
    <row r="30">
      <c r="A30" s="1"/>
      <c r="B30" s="1"/>
      <c r="C30" s="1"/>
      <c r="D30" s="1"/>
      <c r="E30" s="1"/>
      <c r="F30" s="15" t="b">
        <v>0</v>
      </c>
      <c r="G30" s="93"/>
      <c r="H30" s="94"/>
      <c r="I30" s="91"/>
      <c r="J30" s="91"/>
      <c r="K30" s="89" t="str">
        <f t="shared" si="5"/>
        <v/>
      </c>
      <c r="L30" s="1"/>
      <c r="M30" s="15"/>
      <c r="N30" s="91"/>
      <c r="O30" s="91"/>
      <c r="P30" s="46" t="str">
        <f t="shared" si="6"/>
        <v/>
      </c>
      <c r="Q30" s="1"/>
      <c r="R30" s="98" t="b">
        <v>0</v>
      </c>
      <c r="S30" s="90"/>
      <c r="T30" s="103"/>
      <c r="U30" s="99"/>
      <c r="V30" s="104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>
      <c r="A31" s="1"/>
      <c r="B31" s="106" t="s">
        <v>53</v>
      </c>
      <c r="C31" s="4"/>
      <c r="D31" s="5"/>
      <c r="E31" s="1"/>
      <c r="F31" s="15" t="b">
        <v>0</v>
      </c>
      <c r="G31" s="93"/>
      <c r="H31" s="94"/>
      <c r="I31" s="91"/>
      <c r="J31" s="91"/>
      <c r="K31" s="89" t="str">
        <f t="shared" si="5"/>
        <v/>
      </c>
      <c r="L31" s="1"/>
      <c r="M31" s="15"/>
      <c r="N31" s="91"/>
      <c r="O31" s="91"/>
      <c r="P31" s="46" t="str">
        <f t="shared" si="6"/>
        <v/>
      </c>
      <c r="Q31" s="1"/>
      <c r="R31" s="98" t="b">
        <v>0</v>
      </c>
      <c r="S31" s="90"/>
      <c r="T31" s="103"/>
      <c r="U31" s="99"/>
      <c r="V31" s="104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>
      <c r="A32" s="1"/>
      <c r="B32" s="12"/>
      <c r="D32" s="13"/>
      <c r="E32" s="1"/>
      <c r="F32" s="15" t="b">
        <v>0</v>
      </c>
      <c r="G32" s="93"/>
      <c r="H32" s="94"/>
      <c r="I32" s="91"/>
      <c r="J32" s="91"/>
      <c r="K32" s="89" t="str">
        <f t="shared" si="5"/>
        <v/>
      </c>
      <c r="L32" s="1"/>
      <c r="M32" s="15"/>
      <c r="N32" s="107"/>
      <c r="O32" s="91"/>
      <c r="P32" s="46" t="str">
        <f t="shared" si="6"/>
        <v/>
      </c>
      <c r="Q32" s="1"/>
      <c r="R32" s="98" t="b">
        <v>0</v>
      </c>
      <c r="S32" s="90"/>
      <c r="T32" s="103"/>
      <c r="U32" s="99"/>
      <c r="V32" s="104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>
      <c r="A33" s="1"/>
      <c r="B33" s="108"/>
      <c r="C33" s="109" t="s">
        <v>27</v>
      </c>
      <c r="D33" s="110" t="s">
        <v>16</v>
      </c>
      <c r="E33" s="1"/>
      <c r="F33" s="15" t="b">
        <v>0</v>
      </c>
      <c r="G33" s="93"/>
      <c r="H33" s="94"/>
      <c r="I33" s="91"/>
      <c r="J33" s="91"/>
      <c r="K33" s="89" t="str">
        <f t="shared" si="5"/>
        <v/>
      </c>
      <c r="L33" s="1"/>
      <c r="M33" s="15"/>
      <c r="N33" s="91"/>
      <c r="O33" s="91"/>
      <c r="P33" s="46" t="str">
        <f t="shared" si="6"/>
        <v/>
      </c>
      <c r="Q33" s="1"/>
      <c r="R33" s="98" t="b">
        <v>0</v>
      </c>
      <c r="S33" s="90"/>
      <c r="T33" s="103"/>
      <c r="U33" s="99"/>
      <c r="V33" s="104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>
      <c r="A34" s="1"/>
      <c r="B34" s="15" t="s">
        <v>59</v>
      </c>
      <c r="C34" s="91"/>
      <c r="D34" s="92"/>
      <c r="E34" s="1"/>
      <c r="F34" s="15" t="b">
        <v>0</v>
      </c>
      <c r="G34" s="111"/>
      <c r="H34" s="94"/>
      <c r="I34" s="91"/>
      <c r="J34" s="91"/>
      <c r="K34" s="89" t="str">
        <f t="shared" si="5"/>
        <v/>
      </c>
      <c r="L34" s="1"/>
      <c r="M34" s="15"/>
      <c r="N34" s="91"/>
      <c r="O34" s="91"/>
      <c r="P34" s="46" t="str">
        <f t="shared" si="6"/>
        <v/>
      </c>
      <c r="Q34" s="1"/>
      <c r="R34" s="98" t="b">
        <v>0</v>
      </c>
      <c r="S34" s="90"/>
      <c r="T34" s="103"/>
      <c r="U34" s="99"/>
      <c r="V34" s="104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>
      <c r="A35" s="1"/>
      <c r="B35" s="15" t="s">
        <v>62</v>
      </c>
      <c r="C35" s="91"/>
      <c r="D35" s="92"/>
      <c r="E35" s="1"/>
      <c r="F35" s="15" t="b">
        <v>0</v>
      </c>
      <c r="G35" s="93"/>
      <c r="H35" s="94"/>
      <c r="I35" s="91"/>
      <c r="J35" s="91"/>
      <c r="K35" s="89" t="str">
        <f t="shared" si="5"/>
        <v/>
      </c>
      <c r="L35" s="1"/>
      <c r="M35" s="15"/>
      <c r="N35" s="91"/>
      <c r="O35" s="91"/>
      <c r="P35" s="46" t="str">
        <f t="shared" si="6"/>
        <v/>
      </c>
      <c r="Q35" s="1"/>
      <c r="R35" s="98" t="b">
        <v>0</v>
      </c>
      <c r="S35" s="90"/>
      <c r="T35" s="103"/>
      <c r="U35" s="99"/>
      <c r="V35" s="104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>
      <c r="A36" s="1"/>
      <c r="B36" s="15" t="s">
        <v>64</v>
      </c>
      <c r="C36" s="91"/>
      <c r="D36" s="92"/>
      <c r="E36" s="1"/>
      <c r="F36" s="15" t="b">
        <v>0</v>
      </c>
      <c r="G36" s="93"/>
      <c r="H36" s="94"/>
      <c r="I36" s="91"/>
      <c r="J36" s="91"/>
      <c r="K36" s="89" t="str">
        <f t="shared" si="5"/>
        <v/>
      </c>
      <c r="L36" s="1"/>
      <c r="M36" s="15"/>
      <c r="N36" s="91"/>
      <c r="O36" s="91"/>
      <c r="P36" s="46" t="str">
        <f t="shared" si="6"/>
        <v/>
      </c>
      <c r="Q36" s="1"/>
      <c r="R36" s="98" t="b">
        <v>0</v>
      </c>
      <c r="S36" s="90"/>
      <c r="T36" s="103"/>
      <c r="U36" s="99"/>
      <c r="V36" s="104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>
      <c r="A37" s="1"/>
      <c r="B37" s="15" t="s">
        <v>66</v>
      </c>
      <c r="C37" s="91"/>
      <c r="D37" s="92"/>
      <c r="E37" s="1"/>
      <c r="F37" s="98" t="b">
        <v>0</v>
      </c>
      <c r="G37" s="112"/>
      <c r="H37" s="103"/>
      <c r="I37" s="91"/>
      <c r="J37" s="91"/>
      <c r="K37" s="89"/>
      <c r="L37" s="1"/>
      <c r="M37" s="98"/>
      <c r="N37" s="99"/>
      <c r="O37" s="99"/>
      <c r="P37" s="46" t="str">
        <f t="shared" si="6"/>
        <v/>
      </c>
      <c r="Q37" s="1"/>
      <c r="R37" s="98" t="b">
        <v>0</v>
      </c>
      <c r="S37" s="90"/>
      <c r="T37" s="103"/>
      <c r="U37" s="99"/>
      <c r="V37" s="104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>
      <c r="A38" s="1"/>
      <c r="B38" s="15" t="s">
        <v>67</v>
      </c>
      <c r="C38" s="91"/>
      <c r="D38" s="92"/>
      <c r="E38" s="1"/>
      <c r="F38" s="98" t="b">
        <v>0</v>
      </c>
      <c r="G38" s="112"/>
      <c r="H38" s="103"/>
      <c r="I38" s="99"/>
      <c r="J38" s="91"/>
      <c r="K38" s="89" t="str">
        <f t="shared" ref="K38:K62" si="8">if(I38="",J38,(if(J38="","",I38-J38)))</f>
        <v/>
      </c>
      <c r="L38" s="1"/>
      <c r="M38" s="98"/>
      <c r="N38" s="91"/>
      <c r="O38" s="91"/>
      <c r="P38" s="46" t="str">
        <f t="shared" si="6"/>
        <v/>
      </c>
      <c r="Q38" s="1"/>
      <c r="R38" s="98" t="b">
        <v>0</v>
      </c>
      <c r="S38" s="90"/>
      <c r="T38" s="103"/>
      <c r="U38" s="99"/>
      <c r="V38" s="104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>
      <c r="A39" s="1"/>
      <c r="B39" s="113" t="s">
        <v>48</v>
      </c>
      <c r="C39" s="114">
        <f>SUM(C34:C38)</f>
        <v>0</v>
      </c>
      <c r="D39" s="115">
        <f>sum(D34:D38)</f>
        <v>0</v>
      </c>
      <c r="E39" s="1"/>
      <c r="F39" s="98" t="b">
        <v>0</v>
      </c>
      <c r="G39" s="112"/>
      <c r="H39" s="103"/>
      <c r="I39" s="99"/>
      <c r="J39" s="91"/>
      <c r="K39" s="89" t="str">
        <f t="shared" si="8"/>
        <v/>
      </c>
      <c r="L39" s="1"/>
      <c r="M39" s="98"/>
      <c r="N39" s="91"/>
      <c r="O39" s="91"/>
      <c r="P39" s="46" t="str">
        <f t="shared" si="6"/>
        <v/>
      </c>
      <c r="Q39" s="1"/>
      <c r="R39" s="98" t="b">
        <v>0</v>
      </c>
      <c r="S39" s="90"/>
      <c r="T39" s="103"/>
      <c r="U39" s="99"/>
      <c r="V39" s="104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>
      <c r="A40" s="1"/>
      <c r="B40" s="116"/>
      <c r="C40" s="116"/>
      <c r="D40" s="116"/>
      <c r="E40" s="1"/>
      <c r="F40" s="98" t="b">
        <v>0</v>
      </c>
      <c r="G40" s="112"/>
      <c r="H40" s="103"/>
      <c r="I40" s="99"/>
      <c r="J40" s="91"/>
      <c r="K40" s="89" t="str">
        <f t="shared" si="8"/>
        <v/>
      </c>
      <c r="L40" s="1"/>
      <c r="M40" s="98"/>
      <c r="N40" s="99"/>
      <c r="O40" s="99"/>
      <c r="P40" s="46" t="str">
        <f t="shared" si="6"/>
        <v/>
      </c>
      <c r="Q40" s="1"/>
      <c r="R40" s="98" t="b">
        <v>0</v>
      </c>
      <c r="S40" s="90"/>
      <c r="T40" s="103"/>
      <c r="U40" s="99"/>
      <c r="V40" s="104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>
      <c r="A41" s="1"/>
      <c r="B41" s="117" t="s">
        <v>68</v>
      </c>
      <c r="C41" s="4"/>
      <c r="D41" s="5"/>
      <c r="E41" s="1"/>
      <c r="F41" s="98" t="b">
        <v>0</v>
      </c>
      <c r="G41" s="112"/>
      <c r="H41" s="103"/>
      <c r="I41" s="99"/>
      <c r="J41" s="91"/>
      <c r="K41" s="89" t="str">
        <f t="shared" si="8"/>
        <v/>
      </c>
      <c r="L41" s="1"/>
      <c r="M41" s="98"/>
      <c r="N41" s="99"/>
      <c r="O41" s="99"/>
      <c r="P41" s="46" t="str">
        <f t="shared" si="6"/>
        <v/>
      </c>
      <c r="Q41" s="1"/>
      <c r="R41" s="98" t="b">
        <v>0</v>
      </c>
      <c r="S41" s="90"/>
      <c r="T41" s="103"/>
      <c r="U41" s="99"/>
      <c r="V41" s="104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>
      <c r="A42" s="1"/>
      <c r="B42" s="12"/>
      <c r="D42" s="13"/>
      <c r="E42" s="1"/>
      <c r="F42" s="98" t="b">
        <v>0</v>
      </c>
      <c r="G42" s="112"/>
      <c r="H42" s="103"/>
      <c r="I42" s="99"/>
      <c r="J42" s="99"/>
      <c r="K42" s="89" t="str">
        <f t="shared" si="8"/>
        <v/>
      </c>
      <c r="L42" s="1"/>
      <c r="M42" s="98"/>
      <c r="N42" s="91"/>
      <c r="O42" s="91"/>
      <c r="P42" s="46" t="str">
        <f t="shared" si="6"/>
        <v/>
      </c>
      <c r="Q42" s="1"/>
      <c r="R42" s="98" t="b">
        <v>0</v>
      </c>
      <c r="S42" s="90"/>
      <c r="T42" s="103"/>
      <c r="U42" s="99"/>
      <c r="V42" s="104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>
      <c r="A43" s="1"/>
      <c r="B43" s="118"/>
      <c r="C43" s="119" t="s">
        <v>15</v>
      </c>
      <c r="D43" s="120" t="s">
        <v>16</v>
      </c>
      <c r="E43" s="1"/>
      <c r="F43" s="98" t="b">
        <v>0</v>
      </c>
      <c r="G43" s="112"/>
      <c r="H43" s="103"/>
      <c r="I43" s="99"/>
      <c r="J43" s="91"/>
      <c r="K43" s="89" t="str">
        <f t="shared" si="8"/>
        <v/>
      </c>
      <c r="L43" s="1"/>
      <c r="M43" s="98"/>
      <c r="N43" s="91"/>
      <c r="O43" s="91"/>
      <c r="P43" s="46" t="str">
        <f t="shared" si="6"/>
        <v/>
      </c>
      <c r="Q43" s="1"/>
      <c r="R43" s="98" t="b">
        <v>0</v>
      </c>
      <c r="S43" s="90"/>
      <c r="T43" s="103"/>
      <c r="U43" s="99"/>
      <c r="V43" s="104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>
      <c r="A44" s="1"/>
      <c r="B44" s="44" t="s">
        <v>57</v>
      </c>
      <c r="C44" s="85"/>
      <c r="D44" s="86"/>
      <c r="E44" s="1"/>
      <c r="F44" s="98" t="b">
        <v>0</v>
      </c>
      <c r="G44" s="112"/>
      <c r="H44" s="103"/>
      <c r="I44" s="99"/>
      <c r="J44" s="91"/>
      <c r="K44" s="89" t="str">
        <f t="shared" si="8"/>
        <v/>
      </c>
      <c r="L44" s="1"/>
      <c r="M44" s="98"/>
      <c r="N44" s="99"/>
      <c r="O44" s="91"/>
      <c r="P44" s="46" t="str">
        <f t="shared" si="6"/>
        <v/>
      </c>
      <c r="Q44" s="1"/>
      <c r="R44" s="98" t="b">
        <v>0</v>
      </c>
      <c r="S44" s="90"/>
      <c r="T44" s="103"/>
      <c r="U44" s="99"/>
      <c r="V44" s="104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>
      <c r="A45" s="1"/>
      <c r="B45" s="15" t="s">
        <v>69</v>
      </c>
      <c r="C45" s="91"/>
      <c r="D45" s="92"/>
      <c r="E45" s="1"/>
      <c r="F45" s="98" t="b">
        <v>0</v>
      </c>
      <c r="G45" s="112"/>
      <c r="H45" s="103"/>
      <c r="I45" s="99"/>
      <c r="J45" s="99"/>
      <c r="K45" s="89" t="str">
        <f t="shared" si="8"/>
        <v/>
      </c>
      <c r="L45" s="1"/>
      <c r="M45" s="98"/>
      <c r="N45" s="99"/>
      <c r="O45" s="91"/>
      <c r="P45" s="46" t="str">
        <f t="shared" si="6"/>
        <v/>
      </c>
      <c r="Q45" s="1"/>
      <c r="R45" s="98" t="b">
        <v>0</v>
      </c>
      <c r="S45" s="90"/>
      <c r="T45" s="103"/>
      <c r="U45" s="99"/>
      <c r="V45" s="104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>
      <c r="A46" s="1"/>
      <c r="B46" s="15" t="s">
        <v>70</v>
      </c>
      <c r="C46" s="91"/>
      <c r="D46" s="92"/>
      <c r="E46" s="1"/>
      <c r="F46" s="98" t="b">
        <v>0</v>
      </c>
      <c r="G46" s="112"/>
      <c r="H46" s="103"/>
      <c r="I46" s="91"/>
      <c r="J46" s="91"/>
      <c r="K46" s="89" t="str">
        <f t="shared" si="8"/>
        <v/>
      </c>
      <c r="L46" s="1"/>
      <c r="M46" s="98"/>
      <c r="N46" s="99"/>
      <c r="O46" s="91"/>
      <c r="P46" s="46" t="str">
        <f t="shared" si="6"/>
        <v/>
      </c>
      <c r="Q46" s="1"/>
      <c r="R46" s="98" t="b">
        <v>0</v>
      </c>
      <c r="S46" s="90"/>
      <c r="T46" s="103"/>
      <c r="U46" s="99"/>
      <c r="V46" s="10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>
      <c r="A47" s="1"/>
      <c r="B47" s="15" t="s">
        <v>71</v>
      </c>
      <c r="C47" s="91"/>
      <c r="D47" s="92"/>
      <c r="E47" s="1"/>
      <c r="F47" s="15" t="b">
        <v>0</v>
      </c>
      <c r="G47" s="112"/>
      <c r="H47" s="103"/>
      <c r="I47" s="91"/>
      <c r="J47" s="91"/>
      <c r="K47" s="89" t="str">
        <f t="shared" si="8"/>
        <v/>
      </c>
      <c r="L47" s="1"/>
      <c r="M47" s="98"/>
      <c r="N47" s="99"/>
      <c r="O47" s="99"/>
      <c r="P47" s="46" t="str">
        <f t="shared" si="6"/>
        <v/>
      </c>
      <c r="Q47" s="1"/>
      <c r="R47" s="98" t="b">
        <v>0</v>
      </c>
      <c r="S47" s="90"/>
      <c r="T47" s="103"/>
      <c r="U47" s="99"/>
      <c r="V47" s="104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>
      <c r="A48" s="1"/>
      <c r="B48" s="15" t="s">
        <v>72</v>
      </c>
      <c r="C48" s="91"/>
      <c r="D48" s="92"/>
      <c r="E48" s="1"/>
      <c r="F48" s="15" t="b">
        <v>0</v>
      </c>
      <c r="G48" s="112"/>
      <c r="H48" s="103"/>
      <c r="I48" s="91"/>
      <c r="J48" s="91"/>
      <c r="K48" s="89" t="str">
        <f t="shared" si="8"/>
        <v/>
      </c>
      <c r="L48" s="1"/>
      <c r="M48" s="98"/>
      <c r="N48" s="99"/>
      <c r="O48" s="99"/>
      <c r="P48" s="46" t="str">
        <f t="shared" si="6"/>
        <v/>
      </c>
      <c r="Q48" s="1"/>
      <c r="R48" s="121" t="b">
        <v>0</v>
      </c>
      <c r="S48" s="122"/>
      <c r="T48" s="123"/>
      <c r="U48" s="124"/>
      <c r="V48" s="125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>
      <c r="A49" s="1"/>
      <c r="B49" s="15"/>
      <c r="C49" s="91"/>
      <c r="D49" s="92"/>
      <c r="E49" s="1"/>
      <c r="F49" s="15" t="b">
        <v>0</v>
      </c>
      <c r="G49" s="112"/>
      <c r="H49" s="103"/>
      <c r="I49" s="91"/>
      <c r="J49" s="91"/>
      <c r="K49" s="89" t="str">
        <f t="shared" si="8"/>
        <v/>
      </c>
      <c r="L49" s="1"/>
      <c r="M49" s="98"/>
      <c r="N49" s="99"/>
      <c r="O49" s="99"/>
      <c r="P49" s="46" t="str">
        <f t="shared" si="6"/>
        <v/>
      </c>
      <c r="Q49" s="1"/>
      <c r="R49" s="126"/>
      <c r="S49" s="127" t="s">
        <v>48</v>
      </c>
      <c r="T49" s="127"/>
      <c r="U49" s="128">
        <f>sum(U24:U48)</f>
        <v>0</v>
      </c>
      <c r="V49" s="129">
        <f>SUM(V24:V48)</f>
        <v>0</v>
      </c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>
      <c r="A50" s="1"/>
      <c r="B50" s="15"/>
      <c r="C50" s="91"/>
      <c r="D50" s="92"/>
      <c r="E50" s="1"/>
      <c r="F50" s="15" t="b">
        <v>0</v>
      </c>
      <c r="G50" s="112"/>
      <c r="H50" s="103"/>
      <c r="I50" s="91"/>
      <c r="J50" s="91"/>
      <c r="K50" s="89" t="str">
        <f t="shared" si="8"/>
        <v/>
      </c>
      <c r="M50" s="98"/>
      <c r="N50" s="99"/>
      <c r="O50" s="99"/>
      <c r="P50" s="46" t="str">
        <f t="shared" si="6"/>
        <v/>
      </c>
      <c r="R50" s="33"/>
      <c r="S50" s="33"/>
      <c r="T50" s="33"/>
      <c r="U50" s="33"/>
      <c r="V50" s="33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>
      <c r="A51" s="1"/>
      <c r="B51" s="15"/>
      <c r="C51" s="91"/>
      <c r="D51" s="92"/>
      <c r="E51" s="1"/>
      <c r="F51" s="15" t="b">
        <v>0</v>
      </c>
      <c r="G51" s="112"/>
      <c r="H51" s="103"/>
      <c r="I51" s="91"/>
      <c r="J51" s="91"/>
      <c r="K51" s="89" t="str">
        <f t="shared" si="8"/>
        <v/>
      </c>
      <c r="M51" s="98"/>
      <c r="N51" s="99"/>
      <c r="O51" s="99"/>
      <c r="P51" s="46" t="str">
        <f t="shared" si="6"/>
        <v/>
      </c>
      <c r="R51" s="130" t="s">
        <v>73</v>
      </c>
      <c r="S51" s="4"/>
      <c r="T51" s="4"/>
      <c r="U51" s="4"/>
      <c r="V51" s="5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>
      <c r="A52" s="1"/>
      <c r="B52" s="15"/>
      <c r="C52" s="91"/>
      <c r="D52" s="92"/>
      <c r="E52" s="1"/>
      <c r="F52" s="15" t="b">
        <v>0</v>
      </c>
      <c r="G52" s="112"/>
      <c r="H52" s="103"/>
      <c r="I52" s="91"/>
      <c r="J52" s="91"/>
      <c r="K52" s="89" t="str">
        <f t="shared" si="8"/>
        <v/>
      </c>
      <c r="M52" s="98"/>
      <c r="N52" s="99"/>
      <c r="O52" s="99"/>
      <c r="P52" s="46" t="str">
        <f t="shared" si="6"/>
        <v/>
      </c>
      <c r="R52" s="12"/>
      <c r="V52" s="13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>
      <c r="A53" s="1"/>
      <c r="B53" s="15"/>
      <c r="C53" s="91"/>
      <c r="D53" s="92"/>
      <c r="E53" s="1"/>
      <c r="F53" s="15" t="b">
        <v>0</v>
      </c>
      <c r="G53" s="112"/>
      <c r="H53" s="103"/>
      <c r="I53" s="91"/>
      <c r="J53" s="91"/>
      <c r="K53" s="89" t="str">
        <f t="shared" si="8"/>
        <v/>
      </c>
      <c r="M53" s="98"/>
      <c r="N53" s="99"/>
      <c r="O53" s="99"/>
      <c r="P53" s="46" t="str">
        <f t="shared" si="6"/>
        <v/>
      </c>
      <c r="R53" s="131"/>
      <c r="S53" s="10"/>
      <c r="T53" s="10"/>
      <c r="U53" s="10"/>
      <c r="V53" s="1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>
      <c r="A54" s="1"/>
      <c r="B54" s="15"/>
      <c r="C54" s="91"/>
      <c r="D54" s="92"/>
      <c r="E54" s="1"/>
      <c r="F54" s="15" t="b">
        <v>0</v>
      </c>
      <c r="G54" s="112"/>
      <c r="H54" s="103"/>
      <c r="I54" s="91"/>
      <c r="J54" s="91"/>
      <c r="K54" s="89" t="str">
        <f t="shared" si="8"/>
        <v/>
      </c>
      <c r="M54" s="98"/>
      <c r="N54" s="99"/>
      <c r="O54" s="99"/>
      <c r="P54" s="46" t="str">
        <f t="shared" si="6"/>
        <v/>
      </c>
      <c r="R54" s="132"/>
      <c r="S54" s="133"/>
      <c r="T54" s="133"/>
      <c r="U54" s="133"/>
      <c r="V54" s="17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>
      <c r="A55" s="1"/>
      <c r="B55" s="15"/>
      <c r="C55" s="91"/>
      <c r="D55" s="92"/>
      <c r="E55" s="1"/>
      <c r="F55" s="15" t="b">
        <v>0</v>
      </c>
      <c r="G55" s="112"/>
      <c r="H55" s="103"/>
      <c r="I55" s="91"/>
      <c r="J55" s="91"/>
      <c r="K55" s="89" t="str">
        <f t="shared" si="8"/>
        <v/>
      </c>
      <c r="M55" s="98"/>
      <c r="N55" s="99"/>
      <c r="O55" s="99"/>
      <c r="P55" s="46" t="str">
        <f t="shared" si="6"/>
        <v/>
      </c>
      <c r="R55" s="132"/>
      <c r="S55" s="133"/>
      <c r="T55" s="133"/>
      <c r="U55" s="133"/>
      <c r="V55" s="17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>
      <c r="A56" s="1"/>
      <c r="B56" s="15"/>
      <c r="C56" s="91"/>
      <c r="D56" s="92"/>
      <c r="E56" s="1"/>
      <c r="F56" s="15" t="b">
        <v>0</v>
      </c>
      <c r="G56" s="112"/>
      <c r="H56" s="103"/>
      <c r="I56" s="91"/>
      <c r="J56" s="91"/>
      <c r="K56" s="89" t="str">
        <f t="shared" si="8"/>
        <v/>
      </c>
      <c r="M56" s="98"/>
      <c r="N56" s="99"/>
      <c r="O56" s="99"/>
      <c r="P56" s="46" t="str">
        <f t="shared" si="6"/>
        <v/>
      </c>
      <c r="R56" s="134"/>
      <c r="S56" s="133"/>
      <c r="T56" s="133"/>
      <c r="U56" s="133"/>
      <c r="V56" s="17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>
      <c r="A57" s="1"/>
      <c r="B57" s="15"/>
      <c r="C57" s="91"/>
      <c r="D57" s="92"/>
      <c r="E57" s="1"/>
      <c r="F57" s="15" t="b">
        <v>0</v>
      </c>
      <c r="G57" s="112"/>
      <c r="H57" s="103"/>
      <c r="I57" s="91"/>
      <c r="J57" s="91"/>
      <c r="K57" s="89" t="str">
        <f t="shared" si="8"/>
        <v/>
      </c>
      <c r="M57" s="98"/>
      <c r="N57" s="99"/>
      <c r="O57" s="99"/>
      <c r="P57" s="46" t="str">
        <f t="shared" si="6"/>
        <v/>
      </c>
      <c r="R57" s="134"/>
      <c r="S57" s="133"/>
      <c r="T57" s="133"/>
      <c r="U57" s="133"/>
      <c r="V57" s="17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>
      <c r="A58" s="1"/>
      <c r="B58" s="15"/>
      <c r="C58" s="91"/>
      <c r="D58" s="92"/>
      <c r="E58" s="1"/>
      <c r="F58" s="15" t="b">
        <v>0</v>
      </c>
      <c r="G58" s="112"/>
      <c r="H58" s="103"/>
      <c r="I58" s="91"/>
      <c r="J58" s="91"/>
      <c r="K58" s="89" t="str">
        <f t="shared" si="8"/>
        <v/>
      </c>
      <c r="M58" s="98"/>
      <c r="N58" s="99"/>
      <c r="O58" s="99"/>
      <c r="P58" s="46" t="str">
        <f t="shared" si="6"/>
        <v/>
      </c>
      <c r="R58" s="134"/>
      <c r="S58" s="133"/>
      <c r="T58" s="133"/>
      <c r="U58" s="133"/>
      <c r="V58" s="17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>
      <c r="A59" s="1"/>
      <c r="B59" s="15"/>
      <c r="C59" s="91"/>
      <c r="D59" s="92"/>
      <c r="E59" s="1"/>
      <c r="F59" s="15" t="b">
        <v>0</v>
      </c>
      <c r="G59" s="112"/>
      <c r="H59" s="103"/>
      <c r="I59" s="91"/>
      <c r="J59" s="91"/>
      <c r="K59" s="89" t="str">
        <f t="shared" si="8"/>
        <v/>
      </c>
      <c r="M59" s="98"/>
      <c r="N59" s="99"/>
      <c r="O59" s="99"/>
      <c r="P59" s="46" t="str">
        <f t="shared" si="6"/>
        <v/>
      </c>
      <c r="R59" s="134"/>
      <c r="S59" s="133"/>
      <c r="T59" s="133"/>
      <c r="U59" s="133"/>
      <c r="V59" s="17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>
      <c r="A60" s="1"/>
      <c r="B60" s="15"/>
      <c r="C60" s="91"/>
      <c r="D60" s="92"/>
      <c r="E60" s="1"/>
      <c r="F60" s="15" t="b">
        <v>0</v>
      </c>
      <c r="G60" s="112"/>
      <c r="H60" s="103"/>
      <c r="I60" s="91"/>
      <c r="J60" s="91"/>
      <c r="K60" s="89" t="str">
        <f t="shared" si="8"/>
        <v/>
      </c>
      <c r="M60" s="98"/>
      <c r="N60" s="99"/>
      <c r="O60" s="99"/>
      <c r="P60" s="46" t="str">
        <f t="shared" si="6"/>
        <v/>
      </c>
      <c r="R60" s="134"/>
      <c r="S60" s="133"/>
      <c r="T60" s="133"/>
      <c r="U60" s="133"/>
      <c r="V60" s="17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>
      <c r="A61" s="1"/>
      <c r="B61" s="15"/>
      <c r="C61" s="91"/>
      <c r="D61" s="92"/>
      <c r="E61" s="1"/>
      <c r="F61" s="15" t="b">
        <v>0</v>
      </c>
      <c r="G61" s="112"/>
      <c r="H61" s="103"/>
      <c r="I61" s="91"/>
      <c r="J61" s="91"/>
      <c r="K61" s="89" t="str">
        <f t="shared" si="8"/>
        <v/>
      </c>
      <c r="M61" s="98"/>
      <c r="N61" s="99"/>
      <c r="O61" s="99"/>
      <c r="P61" s="46" t="str">
        <f t="shared" si="6"/>
        <v/>
      </c>
      <c r="R61" s="134"/>
      <c r="S61" s="133"/>
      <c r="T61" s="133"/>
      <c r="U61" s="133"/>
      <c r="V61" s="17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>
      <c r="A62" s="1"/>
      <c r="B62" s="15"/>
      <c r="C62" s="91"/>
      <c r="D62" s="92"/>
      <c r="E62" s="1"/>
      <c r="F62" s="15" t="b">
        <v>0</v>
      </c>
      <c r="G62" s="112"/>
      <c r="H62" s="103"/>
      <c r="I62" s="91"/>
      <c r="J62" s="91"/>
      <c r="K62" s="89" t="str">
        <f t="shared" si="8"/>
        <v/>
      </c>
      <c r="M62" s="98"/>
      <c r="N62" s="99"/>
      <c r="O62" s="99"/>
      <c r="P62" s="46" t="str">
        <f t="shared" si="6"/>
        <v/>
      </c>
      <c r="R62" s="134"/>
      <c r="S62" s="133"/>
      <c r="T62" s="133"/>
      <c r="U62" s="133"/>
      <c r="V62" s="17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>
      <c r="A63" s="1"/>
      <c r="B63" s="135" t="s">
        <v>48</v>
      </c>
      <c r="C63" s="136">
        <f t="shared" ref="C63:D63" si="9">SUM(C44:C62)</f>
        <v>0</v>
      </c>
      <c r="D63" s="137">
        <f t="shared" si="9"/>
        <v>0</v>
      </c>
      <c r="E63" s="1"/>
      <c r="F63" s="138"/>
      <c r="G63" s="139" t="s">
        <v>48</v>
      </c>
      <c r="H63" s="140"/>
      <c r="I63" s="141">
        <f t="shared" ref="I63:J63" si="10">SUM(I24:I62)</f>
        <v>0</v>
      </c>
      <c r="J63" s="141">
        <f t="shared" si="10"/>
        <v>0</v>
      </c>
      <c r="K63" s="142">
        <f>sum(K24:K62)</f>
        <v>0</v>
      </c>
      <c r="L63" s="1"/>
      <c r="M63" s="143" t="s">
        <v>48</v>
      </c>
      <c r="N63" s="144">
        <f t="shared" ref="N63:P63" si="11">SUM(N24:N62)</f>
        <v>0</v>
      </c>
      <c r="O63" s="144">
        <f t="shared" si="11"/>
        <v>0</v>
      </c>
      <c r="P63" s="145">
        <f t="shared" si="11"/>
        <v>0</v>
      </c>
      <c r="Q63" s="1"/>
      <c r="R63" s="146"/>
      <c r="S63" s="147"/>
      <c r="T63" s="147"/>
      <c r="U63" s="147"/>
      <c r="V63" s="24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>
      <c r="A64" s="1"/>
      <c r="B64" s="1"/>
      <c r="C64" s="1"/>
      <c r="D64" s="1"/>
      <c r="E64" s="1"/>
      <c r="F64" s="1"/>
      <c r="G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>
      <c r="A65" s="1"/>
      <c r="B65" s="1"/>
      <c r="C65" s="1"/>
      <c r="D65" s="1"/>
      <c r="E65" s="1"/>
      <c r="F65" s="1"/>
      <c r="G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>
      <c r="A66" s="1"/>
      <c r="B66" s="1"/>
      <c r="C66" s="1"/>
      <c r="D66" s="1"/>
      <c r="E66" s="1"/>
      <c r="F66" s="1"/>
      <c r="G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>
      <c r="A67" s="1"/>
      <c r="B67" s="1"/>
      <c r="C67" s="1"/>
      <c r="D67" s="1"/>
      <c r="E67" s="1"/>
      <c r="F67" s="1"/>
      <c r="G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>
      <c r="A68" s="1"/>
      <c r="B68" s="1"/>
      <c r="C68" s="1"/>
      <c r="D68" s="1"/>
      <c r="E68" s="1"/>
      <c r="F68" s="1"/>
      <c r="G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>
      <c r="A69" s="1"/>
      <c r="B69" s="1"/>
      <c r="C69" s="1"/>
      <c r="D69" s="1"/>
      <c r="E69" s="1"/>
      <c r="F69" s="1"/>
      <c r="G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>
      <c r="A70" s="1"/>
      <c r="B70" s="1"/>
      <c r="C70" s="1"/>
      <c r="D70" s="1"/>
      <c r="E70" s="1"/>
      <c r="F70" s="1"/>
      <c r="G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>
      <c r="A71" s="1"/>
      <c r="B71" s="1"/>
      <c r="C71" s="1"/>
      <c r="D71" s="1"/>
      <c r="E71" s="1"/>
      <c r="F71" s="1"/>
      <c r="G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>
      <c r="A72" s="1"/>
      <c r="B72" s="1"/>
      <c r="C72" s="1"/>
      <c r="D72" s="1"/>
      <c r="E72" s="1"/>
      <c r="F72" s="1"/>
      <c r="G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>
      <c r="A73" s="1"/>
      <c r="B73" s="1"/>
      <c r="C73" s="1"/>
      <c r="D73" s="1"/>
      <c r="E73" s="1"/>
      <c r="F73" s="1"/>
      <c r="G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>
      <c r="A74" s="1"/>
      <c r="B74" s="1"/>
      <c r="C74" s="1"/>
      <c r="D74" s="1"/>
      <c r="E74" s="1"/>
      <c r="F74" s="1"/>
      <c r="G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>
      <c r="A75" s="1"/>
      <c r="B75" s="1"/>
      <c r="C75" s="1"/>
      <c r="D75" s="1"/>
      <c r="E75" s="1"/>
      <c r="F75" s="1"/>
      <c r="G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>
      <c r="A76" s="1"/>
      <c r="B76" s="1"/>
      <c r="C76" s="1"/>
      <c r="D76" s="1"/>
      <c r="E76" s="1"/>
      <c r="F76" s="1"/>
      <c r="G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>
      <c r="A77" s="1"/>
      <c r="B77" s="1"/>
      <c r="C77" s="1"/>
      <c r="D77" s="1"/>
      <c r="E77" s="1"/>
      <c r="F77" s="1"/>
      <c r="G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>
      <c r="A78" s="1"/>
      <c r="B78" s="1"/>
      <c r="C78" s="1"/>
      <c r="D78" s="1"/>
      <c r="E78" s="1"/>
      <c r="F78" s="1"/>
      <c r="G78" s="1"/>
      <c r="H78" s="189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</row>
  </sheetData>
  <mergeCells count="35">
    <mergeCell ref="B4:D5"/>
    <mergeCell ref="J4:M6"/>
    <mergeCell ref="N4:P6"/>
    <mergeCell ref="Q4:T6"/>
    <mergeCell ref="U4:V6"/>
    <mergeCell ref="C6:D6"/>
    <mergeCell ref="C7:D7"/>
    <mergeCell ref="F4:I6"/>
    <mergeCell ref="F7:I9"/>
    <mergeCell ref="J7:M9"/>
    <mergeCell ref="N7:P9"/>
    <mergeCell ref="Q7:T9"/>
    <mergeCell ref="U7:V9"/>
    <mergeCell ref="C8:D8"/>
    <mergeCell ref="C9:D9"/>
    <mergeCell ref="B11:D12"/>
    <mergeCell ref="I15:I16"/>
    <mergeCell ref="B21:D22"/>
    <mergeCell ref="F21:J22"/>
    <mergeCell ref="M21:P22"/>
    <mergeCell ref="R21:V22"/>
    <mergeCell ref="R57:V57"/>
    <mergeCell ref="R58:V58"/>
    <mergeCell ref="R59:V59"/>
    <mergeCell ref="R60:V60"/>
    <mergeCell ref="R61:V61"/>
    <mergeCell ref="R62:V62"/>
    <mergeCell ref="R63:V63"/>
    <mergeCell ref="B31:D32"/>
    <mergeCell ref="B41:D42"/>
    <mergeCell ref="R51:V52"/>
    <mergeCell ref="R53:V53"/>
    <mergeCell ref="R54:V54"/>
    <mergeCell ref="R55:V55"/>
    <mergeCell ref="R56:V56"/>
  </mergeCells>
  <conditionalFormatting sqref="K24:K62">
    <cfRule type="cellIs" dxfId="0" priority="1" operator="greaterThan">
      <formula>0</formula>
    </cfRule>
  </conditionalFormatting>
  <conditionalFormatting sqref="K24:K62">
    <cfRule type="cellIs" dxfId="1" priority="2" operator="lessThan">
      <formula>0</formula>
    </cfRule>
  </conditionalFormatting>
  <conditionalFormatting sqref="P24:P62">
    <cfRule type="cellIs" dxfId="0" priority="3" operator="greaterThan">
      <formula>0</formula>
    </cfRule>
  </conditionalFormatting>
  <conditionalFormatting sqref="P24:P62">
    <cfRule type="cellIs" dxfId="1" priority="4" operator="lessThan">
      <formula>0</formula>
    </cfRule>
  </conditionalFormatting>
  <conditionalFormatting sqref="P24:P62">
    <cfRule type="cellIs" dxfId="2" priority="5" operator="equal">
      <formula>0</formula>
    </cfRule>
  </conditionalFormatting>
  <conditionalFormatting sqref="K24:K62">
    <cfRule type="cellIs" dxfId="2" priority="6" operator="equal">
      <formula>0</formula>
    </cfRule>
  </conditionalFormatting>
  <conditionalFormatting sqref="K63">
    <cfRule type="cellIs" dxfId="3" priority="7" operator="greaterThan">
      <formula>0</formula>
    </cfRule>
  </conditionalFormatting>
  <conditionalFormatting sqref="K63">
    <cfRule type="cellIs" dxfId="4" priority="8" operator="lessThan">
      <formula>0</formula>
    </cfRule>
  </conditionalFormatting>
  <conditionalFormatting sqref="P63">
    <cfRule type="cellIs" dxfId="3" priority="9" operator="greaterThan">
      <formula>0</formula>
    </cfRule>
  </conditionalFormatting>
  <conditionalFormatting sqref="K63">
    <cfRule type="cellIs" dxfId="5" priority="10" operator="equal">
      <formula>0</formula>
    </cfRule>
  </conditionalFormatting>
  <dataValidations>
    <dataValidation type="list" allowBlank="1" showErrorMessage="1" sqref="T24:T27 T29:T48 H24:H62">
      <formula1>setting!$A$2:$A$32</formula1>
    </dataValidation>
    <dataValidation type="list" allowBlank="1" showErrorMessage="1" sqref="T28">
      <formula1>setting!$A$2:$A$33</formula1>
    </dataValidation>
    <dataValidation type="list" allowBlank="1" showErrorMessage="1" sqref="C8">
      <formula1>"$,£,€,¥,₽,₩,R$"</formula1>
    </dataValidation>
    <dataValidation type="custom" allowBlank="1" showDropDown="1" sqref="C7">
      <formula1>OR(NOT(ISERROR(DATEVALUE(C7))), AND(ISNUMBER(C7), LEFT(CELL("format", C7))="D"))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15.0"/>
    <col customWidth="1" min="5" max="5" width="1.38"/>
    <col customWidth="1" min="6" max="6" width="3.38"/>
    <col customWidth="1" min="7" max="7" width="15.5"/>
    <col customWidth="1" min="8" max="8" width="7.0"/>
    <col customWidth="1" min="12" max="12" width="2.63"/>
    <col customWidth="1" min="13" max="13" width="15.13"/>
    <col customWidth="1" min="17" max="17" width="2.63"/>
    <col customWidth="1" min="18" max="18" width="3.13"/>
    <col customWidth="1" min="19" max="19" width="13.25"/>
    <col customWidth="1" min="20" max="20" width="5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40.5" customHeight="1">
      <c r="A2" s="1"/>
      <c r="B2" s="1"/>
      <c r="C2" s="2" t="s">
        <v>95</v>
      </c>
      <c r="D2" s="1"/>
      <c r="E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ht="5.25" customHeight="1">
      <c r="A3" s="1"/>
      <c r="B3" s="1"/>
      <c r="C3" s="1"/>
      <c r="D3" s="1"/>
      <c r="E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>
      <c r="A4" s="1"/>
      <c r="B4" s="3" t="s">
        <v>1</v>
      </c>
      <c r="C4" s="4"/>
      <c r="D4" s="5"/>
      <c r="E4" s="1"/>
      <c r="F4" s="6" t="s">
        <v>2</v>
      </c>
      <c r="G4" s="4"/>
      <c r="H4" s="4"/>
      <c r="I4" s="4"/>
      <c r="J4" s="7" t="s">
        <v>3</v>
      </c>
      <c r="K4" s="4"/>
      <c r="L4" s="4"/>
      <c r="M4" s="4"/>
      <c r="N4" s="7" t="s">
        <v>4</v>
      </c>
      <c r="O4" s="4"/>
      <c r="P4" s="4"/>
      <c r="Q4" s="8" t="s">
        <v>5</v>
      </c>
      <c r="R4" s="4"/>
      <c r="S4" s="4"/>
      <c r="T4" s="4"/>
      <c r="U4" s="7" t="s">
        <v>6</v>
      </c>
      <c r="V4" s="5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>
      <c r="A5" s="1"/>
      <c r="B5" s="9"/>
      <c r="C5" s="10"/>
      <c r="D5" s="11"/>
      <c r="E5" s="1"/>
      <c r="F5" s="12"/>
      <c r="V5" s="13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>
      <c r="A6" s="1"/>
      <c r="B6" s="15" t="s">
        <v>7</v>
      </c>
      <c r="C6" s="16">
        <v>45931.0</v>
      </c>
      <c r="D6" s="17"/>
      <c r="E6" s="1"/>
      <c r="F6" s="12"/>
      <c r="V6" s="13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>
      <c r="A7" s="1"/>
      <c r="B7" s="15" t="s">
        <v>8</v>
      </c>
      <c r="C7" s="16">
        <v>45961.0</v>
      </c>
      <c r="D7" s="17"/>
      <c r="E7" s="1"/>
      <c r="F7" s="18">
        <f>D15</f>
        <v>0</v>
      </c>
      <c r="J7" s="19">
        <f>D19</f>
        <v>0</v>
      </c>
      <c r="N7" s="20">
        <f>D17</f>
        <v>0</v>
      </c>
      <c r="Q7" s="19">
        <f>D18</f>
        <v>0</v>
      </c>
      <c r="U7" s="19">
        <f>D16</f>
        <v>0</v>
      </c>
      <c r="V7" s="13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>
      <c r="A8" s="1"/>
      <c r="B8" s="15" t="s">
        <v>9</v>
      </c>
      <c r="C8" s="21" t="s">
        <v>10</v>
      </c>
      <c r="D8" s="17"/>
      <c r="E8" s="1"/>
      <c r="F8" s="12"/>
      <c r="V8" s="13"/>
      <c r="W8" s="1"/>
      <c r="X8" s="1"/>
      <c r="Y8" s="1"/>
      <c r="AA8" s="1"/>
      <c r="AB8" s="1"/>
      <c r="AC8" s="1"/>
      <c r="AD8" s="1"/>
      <c r="AE8" s="1"/>
      <c r="AF8" s="1"/>
      <c r="AG8" s="1"/>
    </row>
    <row r="9">
      <c r="A9" s="1"/>
      <c r="B9" s="22" t="s">
        <v>11</v>
      </c>
      <c r="C9" s="23">
        <f>September!J7</f>
        <v>0</v>
      </c>
      <c r="D9" s="24"/>
      <c r="E9" s="1"/>
      <c r="F9" s="25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7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>
      <c r="A10" s="1"/>
      <c r="B10" s="28" t="s">
        <v>12</v>
      </c>
      <c r="C10" s="29">
        <f>D16+D17+D18</f>
        <v>0</v>
      </c>
      <c r="D10" s="29">
        <f>D19</f>
        <v>0</v>
      </c>
      <c r="E10" s="1"/>
      <c r="W10" s="1"/>
      <c r="X10" s="1"/>
      <c r="Y10" s="1"/>
      <c r="Z10" s="1"/>
      <c r="AA10" s="1"/>
      <c r="AB10" s="1"/>
      <c r="AC10" s="30"/>
      <c r="AD10" s="30"/>
      <c r="AE10" s="30"/>
      <c r="AF10" s="30"/>
      <c r="AG10" s="1"/>
    </row>
    <row r="11">
      <c r="A11" s="1"/>
      <c r="B11" s="31" t="s">
        <v>13</v>
      </c>
      <c r="C11" s="4"/>
      <c r="D11" s="5"/>
      <c r="E11" s="1"/>
      <c r="F11" s="32"/>
      <c r="G11" s="33"/>
      <c r="H11" s="33"/>
      <c r="I11" s="33"/>
      <c r="J11" s="33"/>
      <c r="K11" s="34"/>
      <c r="M11" s="32"/>
      <c r="N11" s="33"/>
      <c r="O11" s="33"/>
      <c r="P11" s="34"/>
      <c r="R11" s="32"/>
      <c r="S11" s="33"/>
      <c r="T11" s="33"/>
      <c r="U11" s="33"/>
      <c r="V11" s="34"/>
      <c r="W11" s="1"/>
      <c r="X11" s="1"/>
      <c r="Y11" s="1"/>
      <c r="Z11" s="1"/>
      <c r="AA11" s="1"/>
      <c r="AB11" s="1"/>
      <c r="AC11" s="30"/>
      <c r="AD11" s="30"/>
      <c r="AE11" s="30"/>
      <c r="AF11" s="30"/>
      <c r="AG11" s="1"/>
    </row>
    <row r="12">
      <c r="A12" s="1"/>
      <c r="B12" s="12"/>
      <c r="D12" s="13"/>
      <c r="E12" s="1"/>
      <c r="F12" s="35"/>
      <c r="G12" s="36"/>
      <c r="H12" s="36"/>
      <c r="I12" s="36"/>
      <c r="J12" s="36"/>
      <c r="K12" s="37"/>
      <c r="L12" s="1"/>
      <c r="M12" s="38"/>
      <c r="N12" s="1"/>
      <c r="O12" s="1"/>
      <c r="P12" s="39"/>
      <c r="Q12" s="1"/>
      <c r="R12" s="38"/>
      <c r="S12" s="1"/>
      <c r="T12" s="1"/>
      <c r="U12" s="1"/>
      <c r="V12" s="39"/>
      <c r="W12" s="1"/>
      <c r="X12" s="1"/>
      <c r="Y12" s="1"/>
      <c r="Z12" s="1"/>
      <c r="AA12" s="1"/>
      <c r="AB12" s="1"/>
      <c r="AC12" s="30"/>
      <c r="AD12" s="28" t="s">
        <v>14</v>
      </c>
      <c r="AE12" s="29">
        <f>V49</f>
        <v>0</v>
      </c>
      <c r="AF12" s="30"/>
      <c r="AG12" s="1"/>
    </row>
    <row r="13">
      <c r="A13" s="1"/>
      <c r="B13" s="40"/>
      <c r="C13" s="41" t="s">
        <v>15</v>
      </c>
      <c r="D13" s="42" t="s">
        <v>16</v>
      </c>
      <c r="E13" s="1"/>
      <c r="F13" s="43"/>
      <c r="G13" s="36"/>
      <c r="H13" s="36"/>
      <c r="I13" s="36"/>
      <c r="J13" s="36"/>
      <c r="K13" s="37"/>
      <c r="L13" s="1"/>
      <c r="M13" s="38"/>
      <c r="N13" s="1"/>
      <c r="O13" s="1"/>
      <c r="P13" s="39"/>
      <c r="Q13" s="1"/>
      <c r="R13" s="38"/>
      <c r="S13" s="1"/>
      <c r="T13" s="1"/>
      <c r="U13" s="1"/>
      <c r="V13" s="39"/>
      <c r="W13" s="1"/>
      <c r="X13" s="1"/>
      <c r="Y13" s="1"/>
      <c r="Z13" s="1"/>
      <c r="AA13" s="1"/>
      <c r="AB13" s="1"/>
      <c r="AC13" s="30"/>
      <c r="AD13" s="28" t="s">
        <v>17</v>
      </c>
      <c r="AE13" s="29">
        <f>J63</f>
        <v>0</v>
      </c>
      <c r="AF13" s="30"/>
      <c r="AG13" s="1"/>
    </row>
    <row r="14">
      <c r="A14" s="1"/>
      <c r="B14" s="44" t="s">
        <v>11</v>
      </c>
      <c r="C14" s="45">
        <f>C9</f>
        <v>0</v>
      </c>
      <c r="D14" s="46">
        <f>C9</f>
        <v>0</v>
      </c>
      <c r="E14" s="47" t="s">
        <v>18</v>
      </c>
      <c r="F14" s="43"/>
      <c r="G14" s="36"/>
      <c r="H14" s="36"/>
      <c r="I14" s="36"/>
      <c r="J14" s="36"/>
      <c r="K14" s="37"/>
      <c r="L14" s="1"/>
      <c r="M14" s="38"/>
      <c r="N14" s="1"/>
      <c r="O14" s="1"/>
      <c r="P14" s="39"/>
      <c r="Q14" s="1"/>
      <c r="R14" s="38"/>
      <c r="S14" s="1"/>
      <c r="T14" s="1"/>
      <c r="U14" s="1"/>
      <c r="V14" s="39"/>
      <c r="W14" s="1"/>
      <c r="X14" s="1"/>
      <c r="Y14" s="1"/>
      <c r="Z14" s="1"/>
      <c r="AA14" s="1"/>
      <c r="AB14" s="1"/>
      <c r="AC14" s="30"/>
      <c r="AD14" s="28" t="s">
        <v>19</v>
      </c>
      <c r="AE14" s="48">
        <f>O63</f>
        <v>0</v>
      </c>
      <c r="AF14" s="30"/>
      <c r="AG14" s="1"/>
    </row>
    <row r="15">
      <c r="A15" s="1"/>
      <c r="B15" s="15" t="s">
        <v>20</v>
      </c>
      <c r="C15" s="49">
        <f t="shared" ref="C15:D15" si="1">C29+C39</f>
        <v>0</v>
      </c>
      <c r="D15" s="50">
        <f t="shared" si="1"/>
        <v>0</v>
      </c>
      <c r="E15" s="1"/>
      <c r="F15" s="43"/>
      <c r="G15" s="51"/>
      <c r="H15" s="51"/>
      <c r="I15" s="52">
        <f>D19</f>
        <v>0</v>
      </c>
      <c r="J15" s="51"/>
      <c r="K15" s="37"/>
      <c r="L15" s="1"/>
      <c r="M15" s="38"/>
      <c r="N15" s="1"/>
      <c r="O15" s="1"/>
      <c r="P15" s="39"/>
      <c r="Q15" s="1"/>
      <c r="R15" s="38"/>
      <c r="S15" s="1"/>
      <c r="T15" s="1"/>
      <c r="U15" s="1"/>
      <c r="V15" s="39"/>
      <c r="W15" s="1"/>
      <c r="X15" s="1"/>
      <c r="Y15" s="1"/>
      <c r="Z15" s="1"/>
      <c r="AA15" s="1"/>
      <c r="AB15" s="1"/>
      <c r="AC15" s="30"/>
      <c r="AD15" s="28" t="s">
        <v>21</v>
      </c>
      <c r="AE15" s="29">
        <f>D63</f>
        <v>0</v>
      </c>
      <c r="AF15" s="30"/>
      <c r="AG15" s="1"/>
    </row>
    <row r="16">
      <c r="A16" s="1"/>
      <c r="B16" s="15" t="s">
        <v>6</v>
      </c>
      <c r="C16" s="49">
        <f t="shared" ref="C16:D16" si="2">C63</f>
        <v>0</v>
      </c>
      <c r="D16" s="50">
        <f t="shared" si="2"/>
        <v>0</v>
      </c>
      <c r="E16" s="1"/>
      <c r="F16" s="43"/>
      <c r="G16" s="51"/>
      <c r="H16" s="51"/>
      <c r="J16" s="51"/>
      <c r="K16" s="37"/>
      <c r="L16" s="1"/>
      <c r="M16" s="38"/>
      <c r="N16" s="1"/>
      <c r="O16" s="1"/>
      <c r="P16" s="39"/>
      <c r="Q16" s="1"/>
      <c r="R16" s="38"/>
      <c r="S16" s="1"/>
      <c r="T16" s="1"/>
      <c r="U16" s="1"/>
      <c r="V16" s="39"/>
      <c r="W16" s="1"/>
      <c r="X16" s="1"/>
      <c r="Y16" s="1"/>
      <c r="Z16" s="1"/>
      <c r="AA16" s="1"/>
      <c r="AB16" s="1"/>
      <c r="AC16" s="30"/>
      <c r="AD16" s="30"/>
      <c r="AE16" s="30"/>
      <c r="AF16" s="30"/>
      <c r="AG16" s="1"/>
    </row>
    <row r="17">
      <c r="A17" s="1"/>
      <c r="B17" s="15" t="s">
        <v>4</v>
      </c>
      <c r="C17" s="49">
        <f t="shared" ref="C17:D17" si="3">I63+N63</f>
        <v>0</v>
      </c>
      <c r="D17" s="50">
        <f t="shared" si="3"/>
        <v>0</v>
      </c>
      <c r="E17" s="1"/>
      <c r="F17" s="43"/>
      <c r="G17" s="36"/>
      <c r="H17" s="36"/>
      <c r="I17" s="36"/>
      <c r="J17" s="36"/>
      <c r="K17" s="37"/>
      <c r="L17" s="1"/>
      <c r="M17" s="38"/>
      <c r="N17" s="1"/>
      <c r="O17" s="1"/>
      <c r="P17" s="39"/>
      <c r="Q17" s="1"/>
      <c r="R17" s="38"/>
      <c r="S17" s="1"/>
      <c r="T17" s="1"/>
      <c r="U17" s="1"/>
      <c r="V17" s="39"/>
      <c r="W17" s="1"/>
      <c r="X17" s="1"/>
      <c r="Y17" s="1"/>
      <c r="Z17" s="1"/>
      <c r="AA17" s="1"/>
      <c r="AB17" s="1"/>
      <c r="AC17" s="30"/>
      <c r="AD17" s="30"/>
      <c r="AE17" s="30"/>
      <c r="AF17" s="30"/>
      <c r="AG17" s="1"/>
    </row>
    <row r="18">
      <c r="A18" s="1"/>
      <c r="B18" s="53" t="s">
        <v>22</v>
      </c>
      <c r="C18" s="54">
        <f t="shared" ref="C18:D18" si="4">U49</f>
        <v>0</v>
      </c>
      <c r="D18" s="55">
        <f t="shared" si="4"/>
        <v>0</v>
      </c>
      <c r="E18" s="1"/>
      <c r="F18" s="43"/>
      <c r="G18" s="36"/>
      <c r="H18" s="36"/>
      <c r="I18" s="36"/>
      <c r="J18" s="36"/>
      <c r="K18" s="37"/>
      <c r="L18" s="1"/>
      <c r="M18" s="38"/>
      <c r="N18" s="1"/>
      <c r="O18" s="1"/>
      <c r="P18" s="39"/>
      <c r="Q18" s="1"/>
      <c r="R18" s="38"/>
      <c r="S18" s="1"/>
      <c r="T18" s="1"/>
      <c r="U18" s="1"/>
      <c r="V18" s="39"/>
      <c r="W18" s="1"/>
      <c r="X18" s="1"/>
      <c r="Y18" s="1"/>
      <c r="Z18" s="1"/>
      <c r="AA18" s="1"/>
      <c r="AB18" s="1"/>
      <c r="AC18" s="30"/>
      <c r="AD18" s="30"/>
      <c r="AE18" s="30"/>
      <c r="AF18" s="30"/>
      <c r="AG18" s="1"/>
    </row>
    <row r="19">
      <c r="A19" s="1"/>
      <c r="B19" s="56" t="s">
        <v>23</v>
      </c>
      <c r="C19" s="57">
        <f>C14+C15-C16-C17-C18</f>
        <v>0</v>
      </c>
      <c r="D19" s="58">
        <f>D14+D15-D17-D18-D16</f>
        <v>0</v>
      </c>
      <c r="E19" s="1"/>
      <c r="F19" s="59"/>
      <c r="G19" s="60"/>
      <c r="H19" s="60"/>
      <c r="I19" s="60"/>
      <c r="J19" s="60"/>
      <c r="K19" s="61"/>
      <c r="L19" s="1"/>
      <c r="M19" s="62"/>
      <c r="N19" s="63"/>
      <c r="O19" s="63"/>
      <c r="P19" s="64"/>
      <c r="Q19" s="1"/>
      <c r="R19" s="62"/>
      <c r="S19" s="63"/>
      <c r="T19" s="63"/>
      <c r="U19" s="63"/>
      <c r="V19" s="64"/>
      <c r="W19" s="1"/>
      <c r="X19" s="1"/>
      <c r="Y19" s="1"/>
      <c r="Z19" s="1"/>
      <c r="AA19" s="1"/>
      <c r="AB19" s="1"/>
      <c r="AC19" s="30"/>
      <c r="AD19" s="30"/>
      <c r="AE19" s="30"/>
      <c r="AF19" s="30"/>
      <c r="AG19" s="1"/>
    </row>
    <row r="20">
      <c r="A20" s="1"/>
      <c r="B20" s="65"/>
      <c r="C20" s="66"/>
      <c r="D20" s="15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30"/>
      <c r="AD20" s="30"/>
      <c r="AE20" s="30"/>
      <c r="AF20" s="30"/>
      <c r="AG20" s="1"/>
    </row>
    <row r="21">
      <c r="A21" s="1"/>
      <c r="B21" s="67" t="s">
        <v>24</v>
      </c>
      <c r="C21" s="4"/>
      <c r="D21" s="5"/>
      <c r="E21" s="1"/>
      <c r="F21" s="68" t="s">
        <v>25</v>
      </c>
      <c r="G21" s="4"/>
      <c r="H21" s="4"/>
      <c r="I21" s="4"/>
      <c r="J21" s="4"/>
      <c r="K21" s="69"/>
      <c r="L21" s="1"/>
      <c r="M21" s="70" t="s">
        <v>26</v>
      </c>
      <c r="N21" s="4"/>
      <c r="O21" s="4"/>
      <c r="P21" s="5"/>
      <c r="Q21" s="1"/>
      <c r="R21" s="71" t="s">
        <v>22</v>
      </c>
      <c r="S21" s="4"/>
      <c r="T21" s="4"/>
      <c r="U21" s="4"/>
      <c r="V21" s="5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>
      <c r="A22" s="1"/>
      <c r="B22" s="12"/>
      <c r="D22" s="13"/>
      <c r="E22" s="1"/>
      <c r="F22" s="25"/>
      <c r="G22" s="26"/>
      <c r="H22" s="26"/>
      <c r="I22" s="26"/>
      <c r="J22" s="26"/>
      <c r="K22" s="72"/>
      <c r="L22" s="1"/>
      <c r="M22" s="12"/>
      <c r="P22" s="13"/>
      <c r="Q22" s="1"/>
      <c r="R22" s="12"/>
      <c r="V22" s="13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>
      <c r="A23" s="1"/>
      <c r="B23" s="73"/>
      <c r="C23" s="74" t="s">
        <v>27</v>
      </c>
      <c r="D23" s="75" t="s">
        <v>16</v>
      </c>
      <c r="E23" s="1"/>
      <c r="F23" s="76"/>
      <c r="G23" s="77"/>
      <c r="H23" s="77" t="s">
        <v>28</v>
      </c>
      <c r="I23" s="77" t="s">
        <v>15</v>
      </c>
      <c r="J23" s="77" t="s">
        <v>16</v>
      </c>
      <c r="K23" s="78" t="s">
        <v>23</v>
      </c>
      <c r="L23" s="1"/>
      <c r="M23" s="79"/>
      <c r="N23" s="80" t="s">
        <v>15</v>
      </c>
      <c r="O23" s="80" t="s">
        <v>16</v>
      </c>
      <c r="P23" s="81" t="s">
        <v>23</v>
      </c>
      <c r="Q23" s="1"/>
      <c r="R23" s="82"/>
      <c r="S23" s="83"/>
      <c r="T23" s="83" t="s">
        <v>28</v>
      </c>
      <c r="U23" s="83" t="s">
        <v>15</v>
      </c>
      <c r="V23" s="84" t="s">
        <v>16</v>
      </c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>
      <c r="A24" s="1"/>
      <c r="B24" s="44" t="s">
        <v>29</v>
      </c>
      <c r="C24" s="85"/>
      <c r="D24" s="86"/>
      <c r="E24" s="1"/>
      <c r="F24" s="44" t="b">
        <v>0</v>
      </c>
      <c r="G24" s="187"/>
      <c r="H24" s="88"/>
      <c r="I24" s="85"/>
      <c r="J24" s="85"/>
      <c r="K24" s="89" t="str">
        <f t="shared" ref="K24:K36" si="5">if(I24="",J24,(if(J24="","",I24-J24)))</f>
        <v/>
      </c>
      <c r="L24" s="1"/>
      <c r="M24" s="44"/>
      <c r="N24" s="85"/>
      <c r="O24" s="85"/>
      <c r="P24" s="46" t="str">
        <f t="shared" ref="P24:P62" si="6">if(N24="",O24,(if(O24="","",N24-O24)))</f>
        <v/>
      </c>
      <c r="Q24" s="1"/>
      <c r="R24" s="44" t="b">
        <v>0</v>
      </c>
      <c r="S24" s="90"/>
      <c r="T24" s="88"/>
      <c r="U24" s="85"/>
      <c r="V24" s="86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>
      <c r="A25" s="1"/>
      <c r="B25" s="15" t="s">
        <v>33</v>
      </c>
      <c r="C25" s="91"/>
      <c r="D25" s="92"/>
      <c r="E25" s="1"/>
      <c r="F25" s="15" t="b">
        <v>0</v>
      </c>
      <c r="G25" s="93"/>
      <c r="H25" s="94"/>
      <c r="I25" s="91"/>
      <c r="J25" s="91"/>
      <c r="K25" s="89" t="str">
        <f t="shared" si="5"/>
        <v/>
      </c>
      <c r="L25" s="1"/>
      <c r="M25" s="15"/>
      <c r="N25" s="91"/>
      <c r="O25" s="91"/>
      <c r="P25" s="46" t="str">
        <f t="shared" si="6"/>
        <v/>
      </c>
      <c r="Q25" s="1"/>
      <c r="R25" s="15" t="b">
        <v>0</v>
      </c>
      <c r="S25" s="21"/>
      <c r="T25" s="94"/>
      <c r="U25" s="91"/>
      <c r="V25" s="92"/>
      <c r="W25" s="1"/>
      <c r="X25" s="1"/>
      <c r="Z25" s="1"/>
      <c r="AA25" s="1"/>
      <c r="AB25" s="1"/>
      <c r="AC25" s="1"/>
      <c r="AD25" s="1"/>
      <c r="AE25" s="1"/>
      <c r="AF25" s="1"/>
      <c r="AG25" s="1"/>
    </row>
    <row r="26">
      <c r="A26" s="1"/>
      <c r="B26" s="15" t="s">
        <v>37</v>
      </c>
      <c r="C26" s="91"/>
      <c r="D26" s="92"/>
      <c r="E26" s="1"/>
      <c r="F26" s="15" t="b">
        <v>0</v>
      </c>
      <c r="G26" s="93"/>
      <c r="H26" s="94"/>
      <c r="I26" s="91"/>
      <c r="J26" s="91"/>
      <c r="K26" s="89" t="str">
        <f t="shared" si="5"/>
        <v/>
      </c>
      <c r="L26" s="1"/>
      <c r="M26" s="15"/>
      <c r="N26" s="91"/>
      <c r="O26" s="91"/>
      <c r="P26" s="46" t="str">
        <f t="shared" si="6"/>
        <v/>
      </c>
      <c r="Q26" s="1"/>
      <c r="R26" s="15" t="b">
        <v>0</v>
      </c>
      <c r="S26" s="21"/>
      <c r="T26" s="94"/>
      <c r="U26" s="91"/>
      <c r="V26" s="92"/>
      <c r="W26" s="1"/>
      <c r="X26" s="1"/>
      <c r="Z26" s="1"/>
      <c r="AA26" s="1"/>
      <c r="AB26" s="1"/>
      <c r="AC26" s="1"/>
      <c r="AD26" s="1"/>
      <c r="AE26" s="1"/>
      <c r="AF26" s="1"/>
      <c r="AG26" s="1"/>
    </row>
    <row r="27">
      <c r="A27" s="1"/>
      <c r="B27" s="15" t="s">
        <v>41</v>
      </c>
      <c r="C27" s="91"/>
      <c r="D27" s="92"/>
      <c r="E27" s="1"/>
      <c r="F27" s="15" t="b">
        <v>0</v>
      </c>
      <c r="G27" s="93"/>
      <c r="H27" s="94"/>
      <c r="I27" s="91"/>
      <c r="J27" s="95"/>
      <c r="K27" s="89" t="str">
        <f t="shared" si="5"/>
        <v/>
      </c>
      <c r="L27" s="1"/>
      <c r="M27" s="15"/>
      <c r="N27" s="91"/>
      <c r="O27" s="91"/>
      <c r="P27" s="46" t="str">
        <f t="shared" si="6"/>
        <v/>
      </c>
      <c r="Q27" s="1"/>
      <c r="R27" s="15" t="b">
        <v>0</v>
      </c>
      <c r="S27" s="21"/>
      <c r="T27" s="94"/>
      <c r="U27" s="91"/>
      <c r="V27" s="92"/>
      <c r="W27" s="1"/>
      <c r="X27" s="1"/>
      <c r="Z27" s="1"/>
      <c r="AA27" s="1"/>
      <c r="AB27" s="1"/>
      <c r="AC27" s="1"/>
      <c r="AD27" s="1"/>
      <c r="AE27" s="1"/>
      <c r="AF27" s="1"/>
      <c r="AG27" s="1"/>
    </row>
    <row r="28">
      <c r="A28" s="1"/>
      <c r="B28" s="53" t="s">
        <v>45</v>
      </c>
      <c r="C28" s="96"/>
      <c r="D28" s="97"/>
      <c r="E28" s="1"/>
      <c r="F28" s="15" t="b">
        <v>0</v>
      </c>
      <c r="G28" s="93"/>
      <c r="H28" s="94"/>
      <c r="I28" s="91"/>
      <c r="J28" s="91"/>
      <c r="K28" s="89" t="str">
        <f t="shared" si="5"/>
        <v/>
      </c>
      <c r="L28" s="1"/>
      <c r="M28" s="15"/>
      <c r="N28" s="91"/>
      <c r="O28" s="91"/>
      <c r="P28" s="46" t="str">
        <f t="shared" si="6"/>
        <v/>
      </c>
      <c r="Q28" s="1"/>
      <c r="R28" s="98" t="b">
        <v>0</v>
      </c>
      <c r="S28" s="90"/>
      <c r="T28" s="94"/>
      <c r="U28" s="99"/>
      <c r="V28" s="92"/>
      <c r="W28" s="1"/>
      <c r="X28" s="1"/>
      <c r="Z28" s="1"/>
      <c r="AA28" s="1"/>
      <c r="AB28" s="1"/>
      <c r="AC28" s="1"/>
      <c r="AD28" s="1"/>
      <c r="AE28" s="1"/>
      <c r="AF28" s="1"/>
      <c r="AG28" s="1"/>
    </row>
    <row r="29">
      <c r="A29" s="1"/>
      <c r="B29" s="100" t="s">
        <v>48</v>
      </c>
      <c r="C29" s="101">
        <f t="shared" ref="C29:D29" si="7">sum(C24:C28)</f>
        <v>0</v>
      </c>
      <c r="D29" s="102">
        <f t="shared" si="7"/>
        <v>0</v>
      </c>
      <c r="E29" s="1"/>
      <c r="F29" s="15" t="b">
        <v>0</v>
      </c>
      <c r="G29" s="93"/>
      <c r="H29" s="94"/>
      <c r="I29" s="91"/>
      <c r="J29" s="91"/>
      <c r="K29" s="89" t="str">
        <f t="shared" si="5"/>
        <v/>
      </c>
      <c r="L29" s="1"/>
      <c r="M29" s="15"/>
      <c r="N29" s="91"/>
      <c r="O29" s="91"/>
      <c r="P29" s="46" t="str">
        <f t="shared" si="6"/>
        <v/>
      </c>
      <c r="Q29" s="1"/>
      <c r="R29" s="98" t="b">
        <v>0</v>
      </c>
      <c r="S29" s="90"/>
      <c r="T29" s="103"/>
      <c r="U29" s="99"/>
      <c r="V29" s="104"/>
      <c r="W29" s="1"/>
      <c r="X29" s="1"/>
      <c r="Y29" s="1"/>
      <c r="Z29" s="1"/>
      <c r="AA29" s="105"/>
      <c r="AB29" s="1"/>
      <c r="AC29" s="1"/>
      <c r="AD29" s="1"/>
      <c r="AE29" s="1"/>
      <c r="AF29" s="1"/>
      <c r="AG29" s="1"/>
    </row>
    <row r="30">
      <c r="A30" s="1"/>
      <c r="B30" s="1"/>
      <c r="C30" s="1"/>
      <c r="D30" s="1"/>
      <c r="E30" s="1"/>
      <c r="F30" s="15" t="b">
        <v>0</v>
      </c>
      <c r="G30" s="93"/>
      <c r="H30" s="94"/>
      <c r="I30" s="91"/>
      <c r="J30" s="91"/>
      <c r="K30" s="89" t="str">
        <f t="shared" si="5"/>
        <v/>
      </c>
      <c r="L30" s="1"/>
      <c r="M30" s="15"/>
      <c r="N30" s="91"/>
      <c r="O30" s="91"/>
      <c r="P30" s="46" t="str">
        <f t="shared" si="6"/>
        <v/>
      </c>
      <c r="Q30" s="1"/>
      <c r="R30" s="98" t="b">
        <v>0</v>
      </c>
      <c r="S30" s="90"/>
      <c r="T30" s="103"/>
      <c r="U30" s="99"/>
      <c r="V30" s="104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>
      <c r="A31" s="1"/>
      <c r="B31" s="106" t="s">
        <v>53</v>
      </c>
      <c r="C31" s="4"/>
      <c r="D31" s="5"/>
      <c r="E31" s="1"/>
      <c r="F31" s="15" t="b">
        <v>0</v>
      </c>
      <c r="G31" s="93"/>
      <c r="H31" s="94"/>
      <c r="I31" s="91"/>
      <c r="J31" s="91"/>
      <c r="K31" s="89" t="str">
        <f t="shared" si="5"/>
        <v/>
      </c>
      <c r="L31" s="1"/>
      <c r="M31" s="15"/>
      <c r="N31" s="91"/>
      <c r="O31" s="91"/>
      <c r="P31" s="46" t="str">
        <f t="shared" si="6"/>
        <v/>
      </c>
      <c r="Q31" s="1"/>
      <c r="R31" s="98" t="b">
        <v>0</v>
      </c>
      <c r="S31" s="90"/>
      <c r="T31" s="103"/>
      <c r="U31" s="99"/>
      <c r="V31" s="104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>
      <c r="A32" s="1"/>
      <c r="B32" s="12"/>
      <c r="D32" s="13"/>
      <c r="E32" s="1"/>
      <c r="F32" s="15" t="b">
        <v>0</v>
      </c>
      <c r="G32" s="93"/>
      <c r="H32" s="94"/>
      <c r="I32" s="91"/>
      <c r="J32" s="91"/>
      <c r="K32" s="89" t="str">
        <f t="shared" si="5"/>
        <v/>
      </c>
      <c r="L32" s="1"/>
      <c r="M32" s="15"/>
      <c r="N32" s="107"/>
      <c r="O32" s="91"/>
      <c r="P32" s="46" t="str">
        <f t="shared" si="6"/>
        <v/>
      </c>
      <c r="Q32" s="1"/>
      <c r="R32" s="98" t="b">
        <v>0</v>
      </c>
      <c r="S32" s="90"/>
      <c r="T32" s="103"/>
      <c r="U32" s="99"/>
      <c r="V32" s="104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>
      <c r="A33" s="1"/>
      <c r="B33" s="108"/>
      <c r="C33" s="109" t="s">
        <v>27</v>
      </c>
      <c r="D33" s="110" t="s">
        <v>16</v>
      </c>
      <c r="E33" s="1"/>
      <c r="F33" s="15" t="b">
        <v>0</v>
      </c>
      <c r="G33" s="93"/>
      <c r="H33" s="94"/>
      <c r="I33" s="91"/>
      <c r="J33" s="91"/>
      <c r="K33" s="89" t="str">
        <f t="shared" si="5"/>
        <v/>
      </c>
      <c r="L33" s="1"/>
      <c r="M33" s="15"/>
      <c r="N33" s="91"/>
      <c r="O33" s="91"/>
      <c r="P33" s="46" t="str">
        <f t="shared" si="6"/>
        <v/>
      </c>
      <c r="Q33" s="1"/>
      <c r="R33" s="98" t="b">
        <v>0</v>
      </c>
      <c r="S33" s="90"/>
      <c r="T33" s="103"/>
      <c r="U33" s="99"/>
      <c r="V33" s="104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>
      <c r="A34" s="1"/>
      <c r="B34" s="15" t="s">
        <v>59</v>
      </c>
      <c r="C34" s="91"/>
      <c r="D34" s="92"/>
      <c r="E34" s="1"/>
      <c r="F34" s="15" t="b">
        <v>0</v>
      </c>
      <c r="G34" s="111"/>
      <c r="H34" s="94"/>
      <c r="I34" s="91"/>
      <c r="J34" s="91"/>
      <c r="K34" s="89" t="str">
        <f t="shared" si="5"/>
        <v/>
      </c>
      <c r="L34" s="1"/>
      <c r="M34" s="15"/>
      <c r="N34" s="91"/>
      <c r="O34" s="91"/>
      <c r="P34" s="46" t="str">
        <f t="shared" si="6"/>
        <v/>
      </c>
      <c r="Q34" s="1"/>
      <c r="R34" s="98" t="b">
        <v>0</v>
      </c>
      <c r="S34" s="90"/>
      <c r="T34" s="103"/>
      <c r="U34" s="99"/>
      <c r="V34" s="104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>
      <c r="A35" s="1"/>
      <c r="B35" s="15" t="s">
        <v>62</v>
      </c>
      <c r="C35" s="91"/>
      <c r="D35" s="92"/>
      <c r="E35" s="1"/>
      <c r="F35" s="15" t="b">
        <v>0</v>
      </c>
      <c r="G35" s="93"/>
      <c r="H35" s="94"/>
      <c r="I35" s="91"/>
      <c r="J35" s="91"/>
      <c r="K35" s="89" t="str">
        <f t="shared" si="5"/>
        <v/>
      </c>
      <c r="L35" s="1"/>
      <c r="M35" s="15"/>
      <c r="N35" s="91"/>
      <c r="O35" s="91"/>
      <c r="P35" s="46" t="str">
        <f t="shared" si="6"/>
        <v/>
      </c>
      <c r="Q35" s="1"/>
      <c r="R35" s="98" t="b">
        <v>0</v>
      </c>
      <c r="S35" s="90"/>
      <c r="T35" s="103"/>
      <c r="U35" s="99"/>
      <c r="V35" s="104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>
      <c r="A36" s="1"/>
      <c r="B36" s="15" t="s">
        <v>64</v>
      </c>
      <c r="C36" s="91"/>
      <c r="D36" s="92"/>
      <c r="E36" s="1"/>
      <c r="F36" s="15" t="b">
        <v>0</v>
      </c>
      <c r="G36" s="93"/>
      <c r="H36" s="94"/>
      <c r="I36" s="91"/>
      <c r="J36" s="91"/>
      <c r="K36" s="89" t="str">
        <f t="shared" si="5"/>
        <v/>
      </c>
      <c r="L36" s="1"/>
      <c r="M36" s="15"/>
      <c r="N36" s="91"/>
      <c r="O36" s="91"/>
      <c r="P36" s="46" t="str">
        <f t="shared" si="6"/>
        <v/>
      </c>
      <c r="Q36" s="1"/>
      <c r="R36" s="98" t="b">
        <v>0</v>
      </c>
      <c r="S36" s="90"/>
      <c r="T36" s="103"/>
      <c r="U36" s="99"/>
      <c r="V36" s="104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>
      <c r="A37" s="1"/>
      <c r="B37" s="15" t="s">
        <v>66</v>
      </c>
      <c r="C37" s="91"/>
      <c r="D37" s="92"/>
      <c r="E37" s="1"/>
      <c r="F37" s="98" t="b">
        <v>0</v>
      </c>
      <c r="G37" s="112"/>
      <c r="H37" s="103"/>
      <c r="I37" s="91"/>
      <c r="J37" s="91"/>
      <c r="K37" s="89"/>
      <c r="L37" s="1"/>
      <c r="M37" s="98"/>
      <c r="N37" s="99"/>
      <c r="O37" s="99"/>
      <c r="P37" s="46" t="str">
        <f t="shared" si="6"/>
        <v/>
      </c>
      <c r="Q37" s="1"/>
      <c r="R37" s="98" t="b">
        <v>0</v>
      </c>
      <c r="S37" s="90"/>
      <c r="T37" s="103"/>
      <c r="U37" s="99"/>
      <c r="V37" s="104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>
      <c r="A38" s="1"/>
      <c r="B38" s="15" t="s">
        <v>67</v>
      </c>
      <c r="C38" s="91"/>
      <c r="D38" s="92"/>
      <c r="E38" s="1"/>
      <c r="F38" s="98" t="b">
        <v>0</v>
      </c>
      <c r="G38" s="112"/>
      <c r="H38" s="103"/>
      <c r="I38" s="99"/>
      <c r="J38" s="91"/>
      <c r="K38" s="89" t="str">
        <f t="shared" ref="K38:K62" si="8">if(I38="",J38,(if(J38="","",I38-J38)))</f>
        <v/>
      </c>
      <c r="L38" s="1"/>
      <c r="M38" s="98"/>
      <c r="N38" s="91"/>
      <c r="O38" s="91"/>
      <c r="P38" s="46" t="str">
        <f t="shared" si="6"/>
        <v/>
      </c>
      <c r="Q38" s="1"/>
      <c r="R38" s="98" t="b">
        <v>0</v>
      </c>
      <c r="S38" s="90"/>
      <c r="T38" s="103"/>
      <c r="U38" s="99"/>
      <c r="V38" s="104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>
      <c r="A39" s="1"/>
      <c r="B39" s="113" t="s">
        <v>48</v>
      </c>
      <c r="C39" s="114">
        <f>SUM(C34:C38)</f>
        <v>0</v>
      </c>
      <c r="D39" s="115">
        <f>sum(D34:D38)</f>
        <v>0</v>
      </c>
      <c r="E39" s="1"/>
      <c r="F39" s="98" t="b">
        <v>0</v>
      </c>
      <c r="G39" s="112"/>
      <c r="H39" s="103"/>
      <c r="I39" s="99"/>
      <c r="J39" s="91"/>
      <c r="K39" s="89" t="str">
        <f t="shared" si="8"/>
        <v/>
      </c>
      <c r="L39" s="1"/>
      <c r="M39" s="98"/>
      <c r="N39" s="91"/>
      <c r="O39" s="91"/>
      <c r="P39" s="46" t="str">
        <f t="shared" si="6"/>
        <v/>
      </c>
      <c r="Q39" s="1"/>
      <c r="R39" s="98" t="b">
        <v>0</v>
      </c>
      <c r="S39" s="90"/>
      <c r="T39" s="103"/>
      <c r="U39" s="99"/>
      <c r="V39" s="104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>
      <c r="A40" s="1"/>
      <c r="B40" s="116"/>
      <c r="C40" s="116"/>
      <c r="D40" s="116"/>
      <c r="E40" s="1"/>
      <c r="F40" s="98" t="b">
        <v>0</v>
      </c>
      <c r="G40" s="112"/>
      <c r="H40" s="103"/>
      <c r="I40" s="99"/>
      <c r="J40" s="91"/>
      <c r="K40" s="89" t="str">
        <f t="shared" si="8"/>
        <v/>
      </c>
      <c r="L40" s="1"/>
      <c r="M40" s="98"/>
      <c r="N40" s="99"/>
      <c r="O40" s="99"/>
      <c r="P40" s="46" t="str">
        <f t="shared" si="6"/>
        <v/>
      </c>
      <c r="Q40" s="1"/>
      <c r="R40" s="98" t="b">
        <v>0</v>
      </c>
      <c r="S40" s="90"/>
      <c r="T40" s="103"/>
      <c r="U40" s="99"/>
      <c r="V40" s="104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>
      <c r="A41" s="1"/>
      <c r="B41" s="117" t="s">
        <v>68</v>
      </c>
      <c r="C41" s="4"/>
      <c r="D41" s="5"/>
      <c r="E41" s="1"/>
      <c r="F41" s="98" t="b">
        <v>0</v>
      </c>
      <c r="G41" s="112"/>
      <c r="H41" s="103"/>
      <c r="I41" s="99"/>
      <c r="J41" s="91"/>
      <c r="K41" s="89" t="str">
        <f t="shared" si="8"/>
        <v/>
      </c>
      <c r="L41" s="1"/>
      <c r="M41" s="98"/>
      <c r="N41" s="99"/>
      <c r="O41" s="99"/>
      <c r="P41" s="46" t="str">
        <f t="shared" si="6"/>
        <v/>
      </c>
      <c r="Q41" s="1"/>
      <c r="R41" s="98" t="b">
        <v>0</v>
      </c>
      <c r="S41" s="90"/>
      <c r="T41" s="103"/>
      <c r="U41" s="99"/>
      <c r="V41" s="104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>
      <c r="A42" s="1"/>
      <c r="B42" s="12"/>
      <c r="D42" s="13"/>
      <c r="E42" s="1"/>
      <c r="F42" s="98" t="b">
        <v>0</v>
      </c>
      <c r="G42" s="112"/>
      <c r="H42" s="103"/>
      <c r="I42" s="99"/>
      <c r="J42" s="99"/>
      <c r="K42" s="89" t="str">
        <f t="shared" si="8"/>
        <v/>
      </c>
      <c r="L42" s="1"/>
      <c r="M42" s="98"/>
      <c r="N42" s="91"/>
      <c r="O42" s="91"/>
      <c r="P42" s="46" t="str">
        <f t="shared" si="6"/>
        <v/>
      </c>
      <c r="Q42" s="1"/>
      <c r="R42" s="98" t="b">
        <v>0</v>
      </c>
      <c r="S42" s="90"/>
      <c r="T42" s="103"/>
      <c r="U42" s="99"/>
      <c r="V42" s="104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>
      <c r="A43" s="1"/>
      <c r="B43" s="118"/>
      <c r="C43" s="119" t="s">
        <v>15</v>
      </c>
      <c r="D43" s="120" t="s">
        <v>16</v>
      </c>
      <c r="E43" s="1"/>
      <c r="F43" s="98" t="b">
        <v>0</v>
      </c>
      <c r="G43" s="112"/>
      <c r="H43" s="103"/>
      <c r="I43" s="99"/>
      <c r="J43" s="91"/>
      <c r="K43" s="89" t="str">
        <f t="shared" si="8"/>
        <v/>
      </c>
      <c r="L43" s="1"/>
      <c r="M43" s="98"/>
      <c r="N43" s="91"/>
      <c r="O43" s="91"/>
      <c r="P43" s="46" t="str">
        <f t="shared" si="6"/>
        <v/>
      </c>
      <c r="Q43" s="1"/>
      <c r="R43" s="98" t="b">
        <v>0</v>
      </c>
      <c r="S43" s="90"/>
      <c r="T43" s="103"/>
      <c r="U43" s="99"/>
      <c r="V43" s="104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>
      <c r="A44" s="1"/>
      <c r="B44" s="44" t="s">
        <v>57</v>
      </c>
      <c r="C44" s="85"/>
      <c r="D44" s="86"/>
      <c r="E44" s="1"/>
      <c r="F44" s="98" t="b">
        <v>0</v>
      </c>
      <c r="G44" s="112"/>
      <c r="H44" s="103"/>
      <c r="I44" s="99"/>
      <c r="J44" s="91"/>
      <c r="K44" s="89" t="str">
        <f t="shared" si="8"/>
        <v/>
      </c>
      <c r="L44" s="1"/>
      <c r="M44" s="98"/>
      <c r="N44" s="99"/>
      <c r="O44" s="91"/>
      <c r="P44" s="46" t="str">
        <f t="shared" si="6"/>
        <v/>
      </c>
      <c r="Q44" s="1"/>
      <c r="R44" s="98" t="b">
        <v>0</v>
      </c>
      <c r="S44" s="90"/>
      <c r="T44" s="103"/>
      <c r="U44" s="99"/>
      <c r="V44" s="104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>
      <c r="A45" s="1"/>
      <c r="B45" s="15" t="s">
        <v>69</v>
      </c>
      <c r="C45" s="91"/>
      <c r="D45" s="92"/>
      <c r="E45" s="1"/>
      <c r="F45" s="98" t="b">
        <v>0</v>
      </c>
      <c r="G45" s="112"/>
      <c r="H45" s="103"/>
      <c r="I45" s="99"/>
      <c r="J45" s="99"/>
      <c r="K45" s="89" t="str">
        <f t="shared" si="8"/>
        <v/>
      </c>
      <c r="L45" s="1"/>
      <c r="M45" s="98"/>
      <c r="N45" s="99"/>
      <c r="O45" s="91"/>
      <c r="P45" s="46" t="str">
        <f t="shared" si="6"/>
        <v/>
      </c>
      <c r="Q45" s="1"/>
      <c r="R45" s="98" t="b">
        <v>0</v>
      </c>
      <c r="S45" s="90"/>
      <c r="T45" s="103"/>
      <c r="U45" s="99"/>
      <c r="V45" s="104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>
      <c r="A46" s="1"/>
      <c r="B46" s="15" t="s">
        <v>70</v>
      </c>
      <c r="C46" s="91"/>
      <c r="D46" s="92"/>
      <c r="E46" s="1"/>
      <c r="F46" s="98" t="b">
        <v>0</v>
      </c>
      <c r="G46" s="112"/>
      <c r="H46" s="103"/>
      <c r="I46" s="91"/>
      <c r="J46" s="91"/>
      <c r="K46" s="89" t="str">
        <f t="shared" si="8"/>
        <v/>
      </c>
      <c r="L46" s="1"/>
      <c r="M46" s="98"/>
      <c r="N46" s="99"/>
      <c r="O46" s="91"/>
      <c r="P46" s="46" t="str">
        <f t="shared" si="6"/>
        <v/>
      </c>
      <c r="Q46" s="1"/>
      <c r="R46" s="98" t="b">
        <v>0</v>
      </c>
      <c r="S46" s="90"/>
      <c r="T46" s="103"/>
      <c r="U46" s="99"/>
      <c r="V46" s="10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>
      <c r="A47" s="1"/>
      <c r="B47" s="15" t="s">
        <v>71</v>
      </c>
      <c r="C47" s="91"/>
      <c r="D47" s="92"/>
      <c r="E47" s="1"/>
      <c r="F47" s="15" t="b">
        <v>0</v>
      </c>
      <c r="G47" s="112"/>
      <c r="H47" s="103"/>
      <c r="I47" s="91"/>
      <c r="J47" s="91"/>
      <c r="K47" s="89" t="str">
        <f t="shared" si="8"/>
        <v/>
      </c>
      <c r="L47" s="1"/>
      <c r="M47" s="98"/>
      <c r="N47" s="99"/>
      <c r="O47" s="99"/>
      <c r="P47" s="46" t="str">
        <f t="shared" si="6"/>
        <v/>
      </c>
      <c r="Q47" s="1"/>
      <c r="R47" s="98" t="b">
        <v>0</v>
      </c>
      <c r="S47" s="90"/>
      <c r="T47" s="103"/>
      <c r="U47" s="99"/>
      <c r="V47" s="104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>
      <c r="A48" s="1"/>
      <c r="B48" s="15" t="s">
        <v>72</v>
      </c>
      <c r="C48" s="91"/>
      <c r="D48" s="92"/>
      <c r="E48" s="1"/>
      <c r="F48" s="15" t="b">
        <v>0</v>
      </c>
      <c r="G48" s="112"/>
      <c r="H48" s="103"/>
      <c r="I48" s="91"/>
      <c r="J48" s="91"/>
      <c r="K48" s="89" t="str">
        <f t="shared" si="8"/>
        <v/>
      </c>
      <c r="L48" s="1"/>
      <c r="M48" s="98"/>
      <c r="N48" s="99"/>
      <c r="O48" s="99"/>
      <c r="P48" s="46" t="str">
        <f t="shared" si="6"/>
        <v/>
      </c>
      <c r="Q48" s="1"/>
      <c r="R48" s="121" t="b">
        <v>0</v>
      </c>
      <c r="S48" s="122"/>
      <c r="T48" s="123"/>
      <c r="U48" s="124"/>
      <c r="V48" s="125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>
      <c r="A49" s="1"/>
      <c r="B49" s="15"/>
      <c r="C49" s="91"/>
      <c r="D49" s="92"/>
      <c r="E49" s="1"/>
      <c r="F49" s="15" t="b">
        <v>0</v>
      </c>
      <c r="G49" s="112"/>
      <c r="H49" s="103"/>
      <c r="I49" s="91"/>
      <c r="J49" s="91"/>
      <c r="K49" s="89" t="str">
        <f t="shared" si="8"/>
        <v/>
      </c>
      <c r="L49" s="1"/>
      <c r="M49" s="98"/>
      <c r="N49" s="99"/>
      <c r="O49" s="99"/>
      <c r="P49" s="46" t="str">
        <f t="shared" si="6"/>
        <v/>
      </c>
      <c r="Q49" s="1"/>
      <c r="R49" s="126"/>
      <c r="S49" s="127" t="s">
        <v>48</v>
      </c>
      <c r="T49" s="127"/>
      <c r="U49" s="128">
        <f>sum(U24:U48)</f>
        <v>0</v>
      </c>
      <c r="V49" s="129">
        <f>SUM(V24:V48)</f>
        <v>0</v>
      </c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>
      <c r="A50" s="1"/>
      <c r="B50" s="15"/>
      <c r="C50" s="91"/>
      <c r="D50" s="92"/>
      <c r="E50" s="1"/>
      <c r="F50" s="15" t="b">
        <v>0</v>
      </c>
      <c r="G50" s="112"/>
      <c r="H50" s="103"/>
      <c r="I50" s="91"/>
      <c r="J50" s="91"/>
      <c r="K50" s="89" t="str">
        <f t="shared" si="8"/>
        <v/>
      </c>
      <c r="M50" s="98"/>
      <c r="N50" s="99"/>
      <c r="O50" s="99"/>
      <c r="P50" s="46" t="str">
        <f t="shared" si="6"/>
        <v/>
      </c>
      <c r="R50" s="33"/>
      <c r="S50" s="33"/>
      <c r="T50" s="33"/>
      <c r="U50" s="33"/>
      <c r="V50" s="33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>
      <c r="A51" s="1"/>
      <c r="B51" s="15"/>
      <c r="C51" s="91"/>
      <c r="D51" s="92"/>
      <c r="E51" s="1"/>
      <c r="F51" s="15" t="b">
        <v>0</v>
      </c>
      <c r="G51" s="112"/>
      <c r="H51" s="103"/>
      <c r="I51" s="91"/>
      <c r="J51" s="91"/>
      <c r="K51" s="89" t="str">
        <f t="shared" si="8"/>
        <v/>
      </c>
      <c r="M51" s="98"/>
      <c r="N51" s="99"/>
      <c r="O51" s="99"/>
      <c r="P51" s="46" t="str">
        <f t="shared" si="6"/>
        <v/>
      </c>
      <c r="R51" s="130" t="s">
        <v>73</v>
      </c>
      <c r="S51" s="4"/>
      <c r="T51" s="4"/>
      <c r="U51" s="4"/>
      <c r="V51" s="5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>
      <c r="A52" s="1"/>
      <c r="B52" s="15"/>
      <c r="C52" s="91"/>
      <c r="D52" s="92"/>
      <c r="E52" s="1"/>
      <c r="F52" s="15" t="b">
        <v>0</v>
      </c>
      <c r="G52" s="112"/>
      <c r="H52" s="103"/>
      <c r="I52" s="91"/>
      <c r="J52" s="91"/>
      <c r="K52" s="89" t="str">
        <f t="shared" si="8"/>
        <v/>
      </c>
      <c r="M52" s="98"/>
      <c r="N52" s="99"/>
      <c r="O52" s="99"/>
      <c r="P52" s="46" t="str">
        <f t="shared" si="6"/>
        <v/>
      </c>
      <c r="R52" s="12"/>
      <c r="V52" s="13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>
      <c r="A53" s="1"/>
      <c r="B53" s="15"/>
      <c r="C53" s="91"/>
      <c r="D53" s="92"/>
      <c r="E53" s="1"/>
      <c r="F53" s="15" t="b">
        <v>0</v>
      </c>
      <c r="G53" s="112"/>
      <c r="H53" s="103"/>
      <c r="I53" s="91"/>
      <c r="J53" s="91"/>
      <c r="K53" s="89" t="str">
        <f t="shared" si="8"/>
        <v/>
      </c>
      <c r="M53" s="98"/>
      <c r="N53" s="99"/>
      <c r="O53" s="99"/>
      <c r="P53" s="46" t="str">
        <f t="shared" si="6"/>
        <v/>
      </c>
      <c r="R53" s="131"/>
      <c r="S53" s="10"/>
      <c r="T53" s="10"/>
      <c r="U53" s="10"/>
      <c r="V53" s="1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>
      <c r="A54" s="1"/>
      <c r="B54" s="15"/>
      <c r="C54" s="91"/>
      <c r="D54" s="92"/>
      <c r="E54" s="1"/>
      <c r="F54" s="15" t="b">
        <v>0</v>
      </c>
      <c r="G54" s="112"/>
      <c r="H54" s="103"/>
      <c r="I54" s="91"/>
      <c r="J54" s="91"/>
      <c r="K54" s="89" t="str">
        <f t="shared" si="8"/>
        <v/>
      </c>
      <c r="M54" s="98"/>
      <c r="N54" s="99"/>
      <c r="O54" s="99"/>
      <c r="P54" s="46" t="str">
        <f t="shared" si="6"/>
        <v/>
      </c>
      <c r="R54" s="132"/>
      <c r="S54" s="133"/>
      <c r="T54" s="133"/>
      <c r="U54" s="133"/>
      <c r="V54" s="17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>
      <c r="A55" s="1"/>
      <c r="B55" s="15"/>
      <c r="C55" s="91"/>
      <c r="D55" s="92"/>
      <c r="E55" s="1"/>
      <c r="F55" s="15" t="b">
        <v>0</v>
      </c>
      <c r="G55" s="112"/>
      <c r="H55" s="103"/>
      <c r="I55" s="91"/>
      <c r="J55" s="91"/>
      <c r="K55" s="89" t="str">
        <f t="shared" si="8"/>
        <v/>
      </c>
      <c r="M55" s="98"/>
      <c r="N55" s="99"/>
      <c r="O55" s="99"/>
      <c r="P55" s="46" t="str">
        <f t="shared" si="6"/>
        <v/>
      </c>
      <c r="R55" s="132"/>
      <c r="S55" s="133"/>
      <c r="T55" s="133"/>
      <c r="U55" s="133"/>
      <c r="V55" s="17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>
      <c r="A56" s="1"/>
      <c r="B56" s="15"/>
      <c r="C56" s="91"/>
      <c r="D56" s="92"/>
      <c r="E56" s="1"/>
      <c r="F56" s="15" t="b">
        <v>0</v>
      </c>
      <c r="G56" s="112"/>
      <c r="H56" s="103"/>
      <c r="I56" s="91"/>
      <c r="J56" s="91"/>
      <c r="K56" s="89" t="str">
        <f t="shared" si="8"/>
        <v/>
      </c>
      <c r="M56" s="98"/>
      <c r="N56" s="99"/>
      <c r="O56" s="99"/>
      <c r="P56" s="46" t="str">
        <f t="shared" si="6"/>
        <v/>
      </c>
      <c r="R56" s="134"/>
      <c r="S56" s="133"/>
      <c r="T56" s="133"/>
      <c r="U56" s="133"/>
      <c r="V56" s="17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>
      <c r="A57" s="1"/>
      <c r="B57" s="15"/>
      <c r="C57" s="91"/>
      <c r="D57" s="92"/>
      <c r="E57" s="1"/>
      <c r="F57" s="15" t="b">
        <v>0</v>
      </c>
      <c r="G57" s="112"/>
      <c r="H57" s="103"/>
      <c r="I57" s="91"/>
      <c r="J57" s="91"/>
      <c r="K57" s="89" t="str">
        <f t="shared" si="8"/>
        <v/>
      </c>
      <c r="M57" s="98"/>
      <c r="N57" s="99"/>
      <c r="O57" s="99"/>
      <c r="P57" s="46" t="str">
        <f t="shared" si="6"/>
        <v/>
      </c>
      <c r="R57" s="134"/>
      <c r="S57" s="133"/>
      <c r="T57" s="133"/>
      <c r="U57" s="133"/>
      <c r="V57" s="17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>
      <c r="A58" s="1"/>
      <c r="B58" s="15"/>
      <c r="C58" s="91"/>
      <c r="D58" s="92"/>
      <c r="E58" s="1"/>
      <c r="F58" s="15" t="b">
        <v>0</v>
      </c>
      <c r="G58" s="112"/>
      <c r="H58" s="103"/>
      <c r="I58" s="91"/>
      <c r="J58" s="91"/>
      <c r="K58" s="89" t="str">
        <f t="shared" si="8"/>
        <v/>
      </c>
      <c r="M58" s="98"/>
      <c r="N58" s="99"/>
      <c r="O58" s="99"/>
      <c r="P58" s="46" t="str">
        <f t="shared" si="6"/>
        <v/>
      </c>
      <c r="R58" s="134"/>
      <c r="S58" s="133"/>
      <c r="T58" s="133"/>
      <c r="U58" s="133"/>
      <c r="V58" s="17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>
      <c r="A59" s="1"/>
      <c r="B59" s="15"/>
      <c r="C59" s="91"/>
      <c r="D59" s="92"/>
      <c r="E59" s="1"/>
      <c r="F59" s="15" t="b">
        <v>0</v>
      </c>
      <c r="G59" s="112"/>
      <c r="H59" s="103"/>
      <c r="I59" s="91"/>
      <c r="J59" s="91"/>
      <c r="K59" s="89" t="str">
        <f t="shared" si="8"/>
        <v/>
      </c>
      <c r="M59" s="98"/>
      <c r="N59" s="99"/>
      <c r="O59" s="99"/>
      <c r="P59" s="46" t="str">
        <f t="shared" si="6"/>
        <v/>
      </c>
      <c r="R59" s="134"/>
      <c r="S59" s="133"/>
      <c r="T59" s="133"/>
      <c r="U59" s="133"/>
      <c r="V59" s="17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>
      <c r="A60" s="1"/>
      <c r="B60" s="15"/>
      <c r="C60" s="91"/>
      <c r="D60" s="92"/>
      <c r="E60" s="1"/>
      <c r="F60" s="15" t="b">
        <v>0</v>
      </c>
      <c r="G60" s="112"/>
      <c r="H60" s="103"/>
      <c r="I60" s="91"/>
      <c r="J60" s="91"/>
      <c r="K60" s="89" t="str">
        <f t="shared" si="8"/>
        <v/>
      </c>
      <c r="M60" s="98"/>
      <c r="N60" s="99"/>
      <c r="O60" s="99"/>
      <c r="P60" s="46" t="str">
        <f t="shared" si="6"/>
        <v/>
      </c>
      <c r="R60" s="134"/>
      <c r="S60" s="133"/>
      <c r="T60" s="133"/>
      <c r="U60" s="133"/>
      <c r="V60" s="17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>
      <c r="A61" s="1"/>
      <c r="B61" s="15"/>
      <c r="C61" s="91"/>
      <c r="D61" s="92"/>
      <c r="E61" s="1"/>
      <c r="F61" s="15" t="b">
        <v>0</v>
      </c>
      <c r="G61" s="112"/>
      <c r="H61" s="103"/>
      <c r="I61" s="91"/>
      <c r="J61" s="91"/>
      <c r="K61" s="89" t="str">
        <f t="shared" si="8"/>
        <v/>
      </c>
      <c r="M61" s="98"/>
      <c r="N61" s="99"/>
      <c r="O61" s="99"/>
      <c r="P61" s="46" t="str">
        <f t="shared" si="6"/>
        <v/>
      </c>
      <c r="R61" s="134"/>
      <c r="S61" s="133"/>
      <c r="T61" s="133"/>
      <c r="U61" s="133"/>
      <c r="V61" s="17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>
      <c r="A62" s="1"/>
      <c r="B62" s="15"/>
      <c r="C62" s="91"/>
      <c r="D62" s="92"/>
      <c r="E62" s="1"/>
      <c r="F62" s="15" t="b">
        <v>0</v>
      </c>
      <c r="G62" s="112"/>
      <c r="H62" s="103"/>
      <c r="I62" s="91"/>
      <c r="J62" s="91"/>
      <c r="K62" s="89" t="str">
        <f t="shared" si="8"/>
        <v/>
      </c>
      <c r="M62" s="98"/>
      <c r="N62" s="99"/>
      <c r="O62" s="99"/>
      <c r="P62" s="46" t="str">
        <f t="shared" si="6"/>
        <v/>
      </c>
      <c r="R62" s="134"/>
      <c r="S62" s="133"/>
      <c r="T62" s="133"/>
      <c r="U62" s="133"/>
      <c r="V62" s="17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>
      <c r="A63" s="1"/>
      <c r="B63" s="135" t="s">
        <v>48</v>
      </c>
      <c r="C63" s="136">
        <f t="shared" ref="C63:D63" si="9">SUM(C44:C62)</f>
        <v>0</v>
      </c>
      <c r="D63" s="137">
        <f t="shared" si="9"/>
        <v>0</v>
      </c>
      <c r="E63" s="1"/>
      <c r="F63" s="138"/>
      <c r="G63" s="139" t="s">
        <v>48</v>
      </c>
      <c r="H63" s="140"/>
      <c r="I63" s="141">
        <f t="shared" ref="I63:J63" si="10">SUM(I24:I62)</f>
        <v>0</v>
      </c>
      <c r="J63" s="141">
        <f t="shared" si="10"/>
        <v>0</v>
      </c>
      <c r="K63" s="142">
        <f>sum(K24:K62)</f>
        <v>0</v>
      </c>
      <c r="L63" s="1"/>
      <c r="M63" s="143" t="s">
        <v>48</v>
      </c>
      <c r="N63" s="144">
        <f t="shared" ref="N63:P63" si="11">SUM(N24:N62)</f>
        <v>0</v>
      </c>
      <c r="O63" s="144">
        <f t="shared" si="11"/>
        <v>0</v>
      </c>
      <c r="P63" s="145">
        <f t="shared" si="11"/>
        <v>0</v>
      </c>
      <c r="Q63" s="1"/>
      <c r="R63" s="146"/>
      <c r="S63" s="147"/>
      <c r="T63" s="147"/>
      <c r="U63" s="147"/>
      <c r="V63" s="24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>
      <c r="A64" s="1"/>
      <c r="B64" s="1"/>
      <c r="C64" s="1"/>
      <c r="D64" s="1"/>
      <c r="E64" s="1"/>
      <c r="F64" s="1"/>
      <c r="G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>
      <c r="A65" s="1"/>
      <c r="B65" s="1"/>
      <c r="C65" s="1"/>
      <c r="D65" s="1"/>
      <c r="E65" s="1"/>
      <c r="F65" s="1"/>
      <c r="G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>
      <c r="A66" s="1"/>
      <c r="B66" s="1"/>
      <c r="C66" s="1"/>
      <c r="D66" s="1"/>
      <c r="E66" s="1"/>
      <c r="F66" s="1"/>
      <c r="G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>
      <c r="A67" s="1"/>
      <c r="B67" s="1"/>
      <c r="C67" s="1"/>
      <c r="D67" s="1"/>
      <c r="E67" s="1"/>
      <c r="F67" s="1"/>
      <c r="G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>
      <c r="A68" s="1"/>
      <c r="B68" s="1"/>
      <c r="C68" s="1"/>
      <c r="D68" s="1"/>
      <c r="E68" s="1"/>
      <c r="F68" s="1"/>
      <c r="G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>
      <c r="A69" s="1"/>
      <c r="B69" s="1"/>
      <c r="C69" s="1"/>
      <c r="D69" s="1"/>
      <c r="E69" s="1"/>
      <c r="F69" s="1"/>
      <c r="G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>
      <c r="A70" s="1"/>
      <c r="B70" s="1"/>
      <c r="C70" s="1"/>
      <c r="D70" s="1"/>
      <c r="E70" s="1"/>
      <c r="F70" s="1"/>
      <c r="G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>
      <c r="A71" s="1"/>
      <c r="B71" s="1"/>
      <c r="C71" s="1"/>
      <c r="D71" s="1"/>
      <c r="E71" s="1"/>
      <c r="F71" s="1"/>
      <c r="G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>
      <c r="A72" s="1"/>
      <c r="B72" s="1"/>
      <c r="C72" s="1"/>
      <c r="D72" s="1"/>
      <c r="E72" s="1"/>
      <c r="F72" s="1"/>
      <c r="G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>
      <c r="A73" s="1"/>
      <c r="B73" s="1"/>
      <c r="C73" s="1"/>
      <c r="D73" s="1"/>
      <c r="E73" s="1"/>
      <c r="F73" s="1"/>
      <c r="G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>
      <c r="A74" s="1"/>
      <c r="B74" s="1"/>
      <c r="C74" s="1"/>
      <c r="D74" s="1"/>
      <c r="E74" s="1"/>
      <c r="F74" s="1"/>
      <c r="G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>
      <c r="A75" s="1"/>
      <c r="B75" s="1"/>
      <c r="C75" s="1"/>
      <c r="D75" s="1"/>
      <c r="E75" s="1"/>
      <c r="F75" s="1"/>
      <c r="G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>
      <c r="A76" s="1"/>
      <c r="B76" s="1"/>
      <c r="C76" s="1"/>
      <c r="D76" s="1"/>
      <c r="E76" s="1"/>
      <c r="F76" s="1"/>
      <c r="G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>
      <c r="A77" s="1"/>
      <c r="B77" s="1"/>
      <c r="C77" s="1"/>
      <c r="D77" s="1"/>
      <c r="E77" s="1"/>
      <c r="F77" s="1"/>
      <c r="G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>
      <c r="A78" s="1"/>
      <c r="B78" s="1"/>
      <c r="C78" s="1"/>
      <c r="D78" s="1"/>
      <c r="E78" s="1"/>
      <c r="F78" s="1"/>
      <c r="G78" s="1"/>
      <c r="H78" s="189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</row>
  </sheetData>
  <mergeCells count="35">
    <mergeCell ref="B4:D5"/>
    <mergeCell ref="J4:M6"/>
    <mergeCell ref="N4:P6"/>
    <mergeCell ref="Q4:T6"/>
    <mergeCell ref="U4:V6"/>
    <mergeCell ref="C6:D6"/>
    <mergeCell ref="C7:D7"/>
    <mergeCell ref="F4:I6"/>
    <mergeCell ref="F7:I9"/>
    <mergeCell ref="J7:M9"/>
    <mergeCell ref="N7:P9"/>
    <mergeCell ref="Q7:T9"/>
    <mergeCell ref="U7:V9"/>
    <mergeCell ref="C8:D8"/>
    <mergeCell ref="C9:D9"/>
    <mergeCell ref="B11:D12"/>
    <mergeCell ref="I15:I16"/>
    <mergeCell ref="B21:D22"/>
    <mergeCell ref="F21:J22"/>
    <mergeCell ref="M21:P22"/>
    <mergeCell ref="R21:V22"/>
    <mergeCell ref="R57:V57"/>
    <mergeCell ref="R58:V58"/>
    <mergeCell ref="R59:V59"/>
    <mergeCell ref="R60:V60"/>
    <mergeCell ref="R61:V61"/>
    <mergeCell ref="R62:V62"/>
    <mergeCell ref="R63:V63"/>
    <mergeCell ref="B31:D32"/>
    <mergeCell ref="B41:D42"/>
    <mergeCell ref="R51:V52"/>
    <mergeCell ref="R53:V53"/>
    <mergeCell ref="R54:V54"/>
    <mergeCell ref="R55:V55"/>
    <mergeCell ref="R56:V56"/>
  </mergeCells>
  <conditionalFormatting sqref="K24:K62">
    <cfRule type="cellIs" dxfId="0" priority="1" operator="greaterThan">
      <formula>0</formula>
    </cfRule>
  </conditionalFormatting>
  <conditionalFormatting sqref="K24:K62">
    <cfRule type="cellIs" dxfId="1" priority="2" operator="lessThan">
      <formula>0</formula>
    </cfRule>
  </conditionalFormatting>
  <conditionalFormatting sqref="P24:P62">
    <cfRule type="cellIs" dxfId="0" priority="3" operator="greaterThan">
      <formula>0</formula>
    </cfRule>
  </conditionalFormatting>
  <conditionalFormatting sqref="P24:P62">
    <cfRule type="cellIs" dxfId="1" priority="4" operator="lessThan">
      <formula>0</formula>
    </cfRule>
  </conditionalFormatting>
  <conditionalFormatting sqref="P24:P62">
    <cfRule type="cellIs" dxfId="2" priority="5" operator="equal">
      <formula>0</formula>
    </cfRule>
  </conditionalFormatting>
  <conditionalFormatting sqref="K24:K62">
    <cfRule type="cellIs" dxfId="2" priority="6" operator="equal">
      <formula>0</formula>
    </cfRule>
  </conditionalFormatting>
  <conditionalFormatting sqref="K63">
    <cfRule type="cellIs" dxfId="3" priority="7" operator="greaterThan">
      <formula>0</formula>
    </cfRule>
  </conditionalFormatting>
  <conditionalFormatting sqref="K63">
    <cfRule type="cellIs" dxfId="4" priority="8" operator="lessThan">
      <formula>0</formula>
    </cfRule>
  </conditionalFormatting>
  <conditionalFormatting sqref="P63">
    <cfRule type="cellIs" dxfId="3" priority="9" operator="greaterThan">
      <formula>0</formula>
    </cfRule>
  </conditionalFormatting>
  <conditionalFormatting sqref="K63">
    <cfRule type="cellIs" dxfId="5" priority="10" operator="equal">
      <formula>0</formula>
    </cfRule>
  </conditionalFormatting>
  <dataValidations>
    <dataValidation type="list" allowBlank="1" showErrorMessage="1" sqref="T24:T27 T29:T48 H24:H62">
      <formula1>setting!$A$2:$A$32</formula1>
    </dataValidation>
    <dataValidation type="list" allowBlank="1" showErrorMessage="1" sqref="T28">
      <formula1>setting!$A$2:$A$33</formula1>
    </dataValidation>
    <dataValidation type="list" allowBlank="1" showErrorMessage="1" sqref="C8">
      <formula1>"$,£,€,¥,₽,₩,R$"</formula1>
    </dataValidation>
    <dataValidation type="custom" allowBlank="1" showDropDown="1" sqref="C7">
      <formula1>OR(NOT(ISERROR(DATEVALUE(C7))), AND(ISNUMBER(C7), LEFT(CELL("format", C7))="D"))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15.0"/>
    <col customWidth="1" min="5" max="5" width="1.38"/>
    <col customWidth="1" min="6" max="6" width="3.38"/>
    <col customWidth="1" min="7" max="7" width="15.5"/>
    <col customWidth="1" min="8" max="8" width="7.0"/>
    <col customWidth="1" min="12" max="12" width="2.63"/>
    <col customWidth="1" min="13" max="13" width="15.13"/>
    <col customWidth="1" min="17" max="17" width="2.63"/>
    <col customWidth="1" min="18" max="18" width="3.13"/>
    <col customWidth="1" min="19" max="19" width="13.25"/>
    <col customWidth="1" min="20" max="20" width="5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40.5" customHeight="1">
      <c r="A2" s="1"/>
      <c r="B2" s="1"/>
      <c r="C2" s="2" t="s">
        <v>96</v>
      </c>
      <c r="D2" s="1"/>
      <c r="E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ht="5.25" customHeight="1">
      <c r="A3" s="1"/>
      <c r="B3" s="1"/>
      <c r="C3" s="1"/>
      <c r="D3" s="1"/>
      <c r="E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>
      <c r="A4" s="1"/>
      <c r="B4" s="3" t="s">
        <v>1</v>
      </c>
      <c r="C4" s="4"/>
      <c r="D4" s="5"/>
      <c r="E4" s="1"/>
      <c r="F4" s="6" t="s">
        <v>2</v>
      </c>
      <c r="G4" s="4"/>
      <c r="H4" s="4"/>
      <c r="I4" s="4"/>
      <c r="J4" s="7" t="s">
        <v>3</v>
      </c>
      <c r="K4" s="4"/>
      <c r="L4" s="4"/>
      <c r="M4" s="4"/>
      <c r="N4" s="7" t="s">
        <v>4</v>
      </c>
      <c r="O4" s="4"/>
      <c r="P4" s="4"/>
      <c r="Q4" s="8" t="s">
        <v>5</v>
      </c>
      <c r="R4" s="4"/>
      <c r="S4" s="4"/>
      <c r="T4" s="4"/>
      <c r="U4" s="7" t="s">
        <v>6</v>
      </c>
      <c r="V4" s="5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>
      <c r="A5" s="1"/>
      <c r="B5" s="9"/>
      <c r="C5" s="10"/>
      <c r="D5" s="11"/>
      <c r="E5" s="1"/>
      <c r="F5" s="12"/>
      <c r="V5" s="13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>
      <c r="A6" s="1"/>
      <c r="B6" s="15" t="s">
        <v>7</v>
      </c>
      <c r="C6" s="16">
        <v>45962.0</v>
      </c>
      <c r="D6" s="17"/>
      <c r="E6" s="1"/>
      <c r="F6" s="12"/>
      <c r="V6" s="13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>
      <c r="A7" s="1"/>
      <c r="B7" s="15" t="s">
        <v>8</v>
      </c>
      <c r="C7" s="16">
        <v>45991.0</v>
      </c>
      <c r="D7" s="17"/>
      <c r="E7" s="1"/>
      <c r="F7" s="18">
        <f>D15</f>
        <v>0</v>
      </c>
      <c r="J7" s="19">
        <f>D19</f>
        <v>0</v>
      </c>
      <c r="N7" s="20">
        <f>D17</f>
        <v>0</v>
      </c>
      <c r="Q7" s="19">
        <f>D18</f>
        <v>0</v>
      </c>
      <c r="U7" s="19">
        <f>D16</f>
        <v>0</v>
      </c>
      <c r="V7" s="13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>
      <c r="A8" s="1"/>
      <c r="B8" s="15" t="s">
        <v>9</v>
      </c>
      <c r="C8" s="21" t="s">
        <v>10</v>
      </c>
      <c r="D8" s="17"/>
      <c r="E8" s="1"/>
      <c r="F8" s="12"/>
      <c r="V8" s="13"/>
      <c r="W8" s="1"/>
      <c r="X8" s="1"/>
      <c r="Y8" s="1"/>
      <c r="AA8" s="1"/>
      <c r="AB8" s="1"/>
      <c r="AC8" s="1"/>
      <c r="AD8" s="1"/>
      <c r="AE8" s="1"/>
      <c r="AF8" s="1"/>
      <c r="AG8" s="1"/>
    </row>
    <row r="9">
      <c r="A9" s="1"/>
      <c r="B9" s="22" t="s">
        <v>11</v>
      </c>
      <c r="C9" s="23">
        <f>October!J7</f>
        <v>0</v>
      </c>
      <c r="D9" s="24"/>
      <c r="E9" s="1"/>
      <c r="F9" s="25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7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>
      <c r="A10" s="1"/>
      <c r="B10" s="28" t="s">
        <v>12</v>
      </c>
      <c r="C10" s="29">
        <f>D16+D17+D18</f>
        <v>0</v>
      </c>
      <c r="D10" s="29">
        <f>D19</f>
        <v>0</v>
      </c>
      <c r="E10" s="1"/>
      <c r="W10" s="1"/>
      <c r="X10" s="1"/>
      <c r="Y10" s="1"/>
      <c r="Z10" s="1"/>
      <c r="AA10" s="1"/>
      <c r="AB10" s="1"/>
      <c r="AC10" s="30"/>
      <c r="AD10" s="30"/>
      <c r="AE10" s="30"/>
      <c r="AF10" s="30"/>
      <c r="AG10" s="1"/>
    </row>
    <row r="11">
      <c r="A11" s="1"/>
      <c r="B11" s="31" t="s">
        <v>13</v>
      </c>
      <c r="C11" s="4"/>
      <c r="D11" s="5"/>
      <c r="E11" s="1"/>
      <c r="F11" s="32"/>
      <c r="G11" s="33"/>
      <c r="H11" s="33"/>
      <c r="I11" s="33"/>
      <c r="J11" s="33"/>
      <c r="K11" s="34"/>
      <c r="M11" s="32"/>
      <c r="N11" s="33"/>
      <c r="O11" s="33"/>
      <c r="P11" s="34"/>
      <c r="R11" s="32"/>
      <c r="S11" s="33"/>
      <c r="T11" s="33"/>
      <c r="U11" s="33"/>
      <c r="V11" s="34"/>
      <c r="W11" s="1"/>
      <c r="X11" s="1"/>
      <c r="Y11" s="1"/>
      <c r="Z11" s="1"/>
      <c r="AA11" s="1"/>
      <c r="AB11" s="1"/>
      <c r="AC11" s="30"/>
      <c r="AD11" s="30"/>
      <c r="AE11" s="30"/>
      <c r="AF11" s="30"/>
      <c r="AG11" s="1"/>
    </row>
    <row r="12">
      <c r="A12" s="1"/>
      <c r="B12" s="12"/>
      <c r="D12" s="13"/>
      <c r="E12" s="1"/>
      <c r="F12" s="35"/>
      <c r="G12" s="36"/>
      <c r="H12" s="36"/>
      <c r="I12" s="36"/>
      <c r="J12" s="36"/>
      <c r="K12" s="37"/>
      <c r="L12" s="1"/>
      <c r="M12" s="38"/>
      <c r="N12" s="1"/>
      <c r="O12" s="1"/>
      <c r="P12" s="39"/>
      <c r="Q12" s="1"/>
      <c r="R12" s="38"/>
      <c r="S12" s="1"/>
      <c r="T12" s="1"/>
      <c r="U12" s="1"/>
      <c r="V12" s="39"/>
      <c r="W12" s="1"/>
      <c r="X12" s="1"/>
      <c r="Y12" s="1"/>
      <c r="Z12" s="1"/>
      <c r="AA12" s="1"/>
      <c r="AB12" s="1"/>
      <c r="AC12" s="30"/>
      <c r="AD12" s="28" t="s">
        <v>14</v>
      </c>
      <c r="AE12" s="29">
        <f>V49</f>
        <v>0</v>
      </c>
      <c r="AF12" s="30"/>
      <c r="AG12" s="1"/>
    </row>
    <row r="13">
      <c r="A13" s="1"/>
      <c r="B13" s="40"/>
      <c r="C13" s="41" t="s">
        <v>15</v>
      </c>
      <c r="D13" s="42" t="s">
        <v>16</v>
      </c>
      <c r="E13" s="1"/>
      <c r="F13" s="43"/>
      <c r="G13" s="36"/>
      <c r="H13" s="36"/>
      <c r="I13" s="36"/>
      <c r="J13" s="36"/>
      <c r="K13" s="37"/>
      <c r="L13" s="1"/>
      <c r="M13" s="38"/>
      <c r="N13" s="1"/>
      <c r="O13" s="1"/>
      <c r="P13" s="39"/>
      <c r="Q13" s="1"/>
      <c r="R13" s="38"/>
      <c r="S13" s="1"/>
      <c r="T13" s="1"/>
      <c r="U13" s="1"/>
      <c r="V13" s="39"/>
      <c r="W13" s="1"/>
      <c r="X13" s="1"/>
      <c r="Y13" s="1"/>
      <c r="Z13" s="1"/>
      <c r="AA13" s="1"/>
      <c r="AB13" s="1"/>
      <c r="AC13" s="30"/>
      <c r="AD13" s="28" t="s">
        <v>17</v>
      </c>
      <c r="AE13" s="29">
        <f>J63</f>
        <v>0</v>
      </c>
      <c r="AF13" s="30"/>
      <c r="AG13" s="1"/>
    </row>
    <row r="14">
      <c r="A14" s="1"/>
      <c r="B14" s="44" t="s">
        <v>11</v>
      </c>
      <c r="C14" s="45">
        <f>C9</f>
        <v>0</v>
      </c>
      <c r="D14" s="46">
        <f>C9</f>
        <v>0</v>
      </c>
      <c r="E14" s="47" t="s">
        <v>18</v>
      </c>
      <c r="F14" s="43"/>
      <c r="G14" s="36"/>
      <c r="H14" s="36"/>
      <c r="I14" s="36"/>
      <c r="J14" s="36"/>
      <c r="K14" s="37"/>
      <c r="L14" s="1"/>
      <c r="M14" s="38"/>
      <c r="N14" s="1"/>
      <c r="O14" s="1"/>
      <c r="P14" s="39"/>
      <c r="Q14" s="1"/>
      <c r="R14" s="38"/>
      <c r="S14" s="1"/>
      <c r="T14" s="1"/>
      <c r="U14" s="1"/>
      <c r="V14" s="39"/>
      <c r="W14" s="1"/>
      <c r="X14" s="1"/>
      <c r="Y14" s="1"/>
      <c r="Z14" s="1"/>
      <c r="AA14" s="1"/>
      <c r="AB14" s="1"/>
      <c r="AC14" s="30"/>
      <c r="AD14" s="28" t="s">
        <v>19</v>
      </c>
      <c r="AE14" s="48">
        <f>O63</f>
        <v>0</v>
      </c>
      <c r="AF14" s="30"/>
      <c r="AG14" s="1"/>
    </row>
    <row r="15">
      <c r="A15" s="1"/>
      <c r="B15" s="15" t="s">
        <v>20</v>
      </c>
      <c r="C15" s="49">
        <f t="shared" ref="C15:D15" si="1">C29+C39</f>
        <v>0</v>
      </c>
      <c r="D15" s="50">
        <f t="shared" si="1"/>
        <v>0</v>
      </c>
      <c r="E15" s="1"/>
      <c r="F15" s="43"/>
      <c r="G15" s="51"/>
      <c r="H15" s="51"/>
      <c r="I15" s="52">
        <f>D19</f>
        <v>0</v>
      </c>
      <c r="J15" s="51"/>
      <c r="K15" s="37"/>
      <c r="L15" s="1"/>
      <c r="M15" s="38"/>
      <c r="N15" s="1"/>
      <c r="O15" s="1"/>
      <c r="P15" s="39"/>
      <c r="Q15" s="1"/>
      <c r="R15" s="38"/>
      <c r="S15" s="1"/>
      <c r="T15" s="1"/>
      <c r="U15" s="1"/>
      <c r="V15" s="39"/>
      <c r="W15" s="1"/>
      <c r="X15" s="1"/>
      <c r="Y15" s="1"/>
      <c r="Z15" s="1"/>
      <c r="AA15" s="1"/>
      <c r="AB15" s="1"/>
      <c r="AC15" s="30"/>
      <c r="AD15" s="28" t="s">
        <v>21</v>
      </c>
      <c r="AE15" s="29">
        <f>D63</f>
        <v>0</v>
      </c>
      <c r="AF15" s="30"/>
      <c r="AG15" s="1"/>
    </row>
    <row r="16">
      <c r="A16" s="1"/>
      <c r="B16" s="15" t="s">
        <v>6</v>
      </c>
      <c r="C16" s="49">
        <f t="shared" ref="C16:D16" si="2">C63</f>
        <v>0</v>
      </c>
      <c r="D16" s="50">
        <f t="shared" si="2"/>
        <v>0</v>
      </c>
      <c r="E16" s="1"/>
      <c r="F16" s="43"/>
      <c r="G16" s="51"/>
      <c r="H16" s="51"/>
      <c r="J16" s="51"/>
      <c r="K16" s="37"/>
      <c r="L16" s="1"/>
      <c r="M16" s="38"/>
      <c r="N16" s="1"/>
      <c r="O16" s="1"/>
      <c r="P16" s="39"/>
      <c r="Q16" s="1"/>
      <c r="R16" s="38"/>
      <c r="S16" s="1"/>
      <c r="T16" s="1"/>
      <c r="U16" s="1"/>
      <c r="V16" s="39"/>
      <c r="W16" s="1"/>
      <c r="X16" s="1"/>
      <c r="Y16" s="1"/>
      <c r="Z16" s="1"/>
      <c r="AA16" s="1"/>
      <c r="AB16" s="1"/>
      <c r="AC16" s="30"/>
      <c r="AD16" s="30"/>
      <c r="AE16" s="30"/>
      <c r="AF16" s="30"/>
      <c r="AG16" s="1"/>
    </row>
    <row r="17">
      <c r="A17" s="1"/>
      <c r="B17" s="15" t="s">
        <v>4</v>
      </c>
      <c r="C17" s="49">
        <f t="shared" ref="C17:D17" si="3">I63+N63</f>
        <v>0</v>
      </c>
      <c r="D17" s="50">
        <f t="shared" si="3"/>
        <v>0</v>
      </c>
      <c r="E17" s="1"/>
      <c r="F17" s="43"/>
      <c r="G17" s="36"/>
      <c r="H17" s="36"/>
      <c r="I17" s="36"/>
      <c r="J17" s="36"/>
      <c r="K17" s="37"/>
      <c r="L17" s="1"/>
      <c r="M17" s="38"/>
      <c r="N17" s="1"/>
      <c r="O17" s="1"/>
      <c r="P17" s="39"/>
      <c r="Q17" s="1"/>
      <c r="R17" s="38"/>
      <c r="S17" s="1"/>
      <c r="T17" s="1"/>
      <c r="U17" s="1"/>
      <c r="V17" s="39"/>
      <c r="W17" s="1"/>
      <c r="X17" s="1"/>
      <c r="Y17" s="1"/>
      <c r="Z17" s="1"/>
      <c r="AA17" s="1"/>
      <c r="AB17" s="1"/>
      <c r="AC17" s="30"/>
      <c r="AD17" s="30"/>
      <c r="AE17" s="30"/>
      <c r="AF17" s="30"/>
      <c r="AG17" s="1"/>
    </row>
    <row r="18">
      <c r="A18" s="1"/>
      <c r="B18" s="53" t="s">
        <v>22</v>
      </c>
      <c r="C18" s="54">
        <f t="shared" ref="C18:D18" si="4">U49</f>
        <v>0</v>
      </c>
      <c r="D18" s="55">
        <f t="shared" si="4"/>
        <v>0</v>
      </c>
      <c r="E18" s="1"/>
      <c r="F18" s="43"/>
      <c r="G18" s="36"/>
      <c r="H18" s="36"/>
      <c r="I18" s="36"/>
      <c r="J18" s="36"/>
      <c r="K18" s="37"/>
      <c r="L18" s="1"/>
      <c r="M18" s="38"/>
      <c r="N18" s="1"/>
      <c r="O18" s="1"/>
      <c r="P18" s="39"/>
      <c r="Q18" s="1"/>
      <c r="R18" s="38"/>
      <c r="S18" s="1"/>
      <c r="T18" s="1"/>
      <c r="U18" s="1"/>
      <c r="V18" s="39"/>
      <c r="W18" s="1"/>
      <c r="X18" s="1"/>
      <c r="Y18" s="1"/>
      <c r="Z18" s="1"/>
      <c r="AA18" s="1"/>
      <c r="AB18" s="1"/>
      <c r="AC18" s="30"/>
      <c r="AD18" s="30"/>
      <c r="AE18" s="30"/>
      <c r="AF18" s="30"/>
      <c r="AG18" s="1"/>
    </row>
    <row r="19">
      <c r="A19" s="1"/>
      <c r="B19" s="56" t="s">
        <v>23</v>
      </c>
      <c r="C19" s="57">
        <f>C14+C15-C16-C17-C18</f>
        <v>0</v>
      </c>
      <c r="D19" s="58">
        <f>D14+D15-D17-D18-D16</f>
        <v>0</v>
      </c>
      <c r="E19" s="1"/>
      <c r="F19" s="59"/>
      <c r="G19" s="60"/>
      <c r="H19" s="60"/>
      <c r="I19" s="60"/>
      <c r="J19" s="60"/>
      <c r="K19" s="61"/>
      <c r="L19" s="1"/>
      <c r="M19" s="62"/>
      <c r="N19" s="63"/>
      <c r="O19" s="63"/>
      <c r="P19" s="64"/>
      <c r="Q19" s="1"/>
      <c r="R19" s="62"/>
      <c r="S19" s="63"/>
      <c r="T19" s="63"/>
      <c r="U19" s="63"/>
      <c r="V19" s="64"/>
      <c r="W19" s="1"/>
      <c r="X19" s="1"/>
      <c r="Y19" s="1"/>
      <c r="Z19" s="1"/>
      <c r="AA19" s="1"/>
      <c r="AB19" s="1"/>
      <c r="AC19" s="30"/>
      <c r="AD19" s="30"/>
      <c r="AE19" s="30"/>
      <c r="AF19" s="30"/>
      <c r="AG19" s="1"/>
    </row>
    <row r="20">
      <c r="A20" s="1"/>
      <c r="B20" s="65"/>
      <c r="C20" s="66"/>
      <c r="D20" s="15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30"/>
      <c r="AD20" s="30"/>
      <c r="AE20" s="30"/>
      <c r="AF20" s="30"/>
      <c r="AG20" s="1"/>
    </row>
    <row r="21">
      <c r="A21" s="1"/>
      <c r="B21" s="67" t="s">
        <v>24</v>
      </c>
      <c r="C21" s="4"/>
      <c r="D21" s="5"/>
      <c r="E21" s="1"/>
      <c r="F21" s="68" t="s">
        <v>25</v>
      </c>
      <c r="G21" s="4"/>
      <c r="H21" s="4"/>
      <c r="I21" s="4"/>
      <c r="J21" s="4"/>
      <c r="K21" s="69"/>
      <c r="L21" s="1"/>
      <c r="M21" s="70" t="s">
        <v>26</v>
      </c>
      <c r="N21" s="4"/>
      <c r="O21" s="4"/>
      <c r="P21" s="5"/>
      <c r="Q21" s="1"/>
      <c r="R21" s="71" t="s">
        <v>22</v>
      </c>
      <c r="S21" s="4"/>
      <c r="T21" s="4"/>
      <c r="U21" s="4"/>
      <c r="V21" s="5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>
      <c r="A22" s="1"/>
      <c r="B22" s="12"/>
      <c r="D22" s="13"/>
      <c r="E22" s="1"/>
      <c r="F22" s="25"/>
      <c r="G22" s="26"/>
      <c r="H22" s="26"/>
      <c r="I22" s="26"/>
      <c r="J22" s="26"/>
      <c r="K22" s="72"/>
      <c r="L22" s="1"/>
      <c r="M22" s="12"/>
      <c r="P22" s="13"/>
      <c r="Q22" s="1"/>
      <c r="R22" s="12"/>
      <c r="V22" s="13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>
      <c r="A23" s="1"/>
      <c r="B23" s="73"/>
      <c r="C23" s="74" t="s">
        <v>27</v>
      </c>
      <c r="D23" s="75" t="s">
        <v>16</v>
      </c>
      <c r="E23" s="1"/>
      <c r="F23" s="76"/>
      <c r="G23" s="77"/>
      <c r="H23" s="77" t="s">
        <v>28</v>
      </c>
      <c r="I23" s="77" t="s">
        <v>15</v>
      </c>
      <c r="J23" s="77" t="s">
        <v>16</v>
      </c>
      <c r="K23" s="78" t="s">
        <v>23</v>
      </c>
      <c r="L23" s="1"/>
      <c r="M23" s="79"/>
      <c r="N23" s="80" t="s">
        <v>15</v>
      </c>
      <c r="O23" s="80" t="s">
        <v>16</v>
      </c>
      <c r="P23" s="81" t="s">
        <v>23</v>
      </c>
      <c r="Q23" s="1"/>
      <c r="R23" s="82"/>
      <c r="S23" s="83"/>
      <c r="T23" s="83" t="s">
        <v>28</v>
      </c>
      <c r="U23" s="83" t="s">
        <v>15</v>
      </c>
      <c r="V23" s="84" t="s">
        <v>16</v>
      </c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>
      <c r="A24" s="1"/>
      <c r="B24" s="44" t="s">
        <v>29</v>
      </c>
      <c r="C24" s="85"/>
      <c r="D24" s="86"/>
      <c r="E24" s="1"/>
      <c r="F24" s="44" t="b">
        <v>0</v>
      </c>
      <c r="G24" s="187"/>
      <c r="H24" s="88"/>
      <c r="I24" s="85"/>
      <c r="J24" s="85"/>
      <c r="K24" s="89" t="str">
        <f t="shared" ref="K24:K36" si="5">if(I24="",J24,(if(J24="","",I24-J24)))</f>
        <v/>
      </c>
      <c r="L24" s="1"/>
      <c r="M24" s="44"/>
      <c r="N24" s="85"/>
      <c r="O24" s="85"/>
      <c r="P24" s="46" t="str">
        <f t="shared" ref="P24:P62" si="6">if(N24="",O24,(if(O24="","",N24-O24)))</f>
        <v/>
      </c>
      <c r="Q24" s="1"/>
      <c r="R24" s="44" t="b">
        <v>0</v>
      </c>
      <c r="S24" s="90"/>
      <c r="T24" s="88"/>
      <c r="U24" s="85"/>
      <c r="V24" s="86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>
      <c r="A25" s="1"/>
      <c r="B25" s="15" t="s">
        <v>33</v>
      </c>
      <c r="C25" s="91"/>
      <c r="D25" s="92"/>
      <c r="E25" s="1"/>
      <c r="F25" s="15" t="b">
        <v>0</v>
      </c>
      <c r="G25" s="93"/>
      <c r="H25" s="94"/>
      <c r="I25" s="91"/>
      <c r="J25" s="91"/>
      <c r="K25" s="89" t="str">
        <f t="shared" si="5"/>
        <v/>
      </c>
      <c r="L25" s="1"/>
      <c r="M25" s="15"/>
      <c r="N25" s="91"/>
      <c r="O25" s="91"/>
      <c r="P25" s="46" t="str">
        <f t="shared" si="6"/>
        <v/>
      </c>
      <c r="Q25" s="1"/>
      <c r="R25" s="15" t="b">
        <v>0</v>
      </c>
      <c r="S25" s="21"/>
      <c r="T25" s="94"/>
      <c r="U25" s="91"/>
      <c r="V25" s="92"/>
      <c r="W25" s="1"/>
      <c r="X25" s="1"/>
      <c r="Z25" s="1"/>
      <c r="AA25" s="1"/>
      <c r="AB25" s="1"/>
      <c r="AC25" s="1"/>
      <c r="AD25" s="1"/>
      <c r="AE25" s="1"/>
      <c r="AF25" s="1"/>
      <c r="AG25" s="1"/>
    </row>
    <row r="26">
      <c r="A26" s="1"/>
      <c r="B26" s="15" t="s">
        <v>37</v>
      </c>
      <c r="C26" s="91"/>
      <c r="D26" s="92"/>
      <c r="E26" s="1"/>
      <c r="F26" s="15" t="b">
        <v>0</v>
      </c>
      <c r="G26" s="93"/>
      <c r="H26" s="94"/>
      <c r="I26" s="91"/>
      <c r="J26" s="91"/>
      <c r="K26" s="89" t="str">
        <f t="shared" si="5"/>
        <v/>
      </c>
      <c r="L26" s="1"/>
      <c r="M26" s="15"/>
      <c r="N26" s="91"/>
      <c r="O26" s="91"/>
      <c r="P26" s="46" t="str">
        <f t="shared" si="6"/>
        <v/>
      </c>
      <c r="Q26" s="1"/>
      <c r="R26" s="15" t="b">
        <v>0</v>
      </c>
      <c r="S26" s="21"/>
      <c r="T26" s="94"/>
      <c r="U26" s="91"/>
      <c r="V26" s="92"/>
      <c r="W26" s="1"/>
      <c r="X26" s="1"/>
      <c r="Z26" s="1"/>
      <c r="AA26" s="1"/>
      <c r="AB26" s="1"/>
      <c r="AC26" s="1"/>
      <c r="AD26" s="1"/>
      <c r="AE26" s="1"/>
      <c r="AF26" s="1"/>
      <c r="AG26" s="1"/>
    </row>
    <row r="27">
      <c r="A27" s="1"/>
      <c r="B27" s="15" t="s">
        <v>41</v>
      </c>
      <c r="C27" s="91"/>
      <c r="D27" s="92"/>
      <c r="E27" s="1"/>
      <c r="F27" s="15" t="b">
        <v>0</v>
      </c>
      <c r="G27" s="93"/>
      <c r="H27" s="94"/>
      <c r="I27" s="91"/>
      <c r="J27" s="95"/>
      <c r="K27" s="89" t="str">
        <f t="shared" si="5"/>
        <v/>
      </c>
      <c r="L27" s="1"/>
      <c r="M27" s="15"/>
      <c r="N27" s="91"/>
      <c r="O27" s="91"/>
      <c r="P27" s="46" t="str">
        <f t="shared" si="6"/>
        <v/>
      </c>
      <c r="Q27" s="1"/>
      <c r="R27" s="15" t="b">
        <v>0</v>
      </c>
      <c r="S27" s="21"/>
      <c r="T27" s="94"/>
      <c r="U27" s="91"/>
      <c r="V27" s="92"/>
      <c r="W27" s="1"/>
      <c r="X27" s="1"/>
      <c r="Z27" s="1"/>
      <c r="AA27" s="1"/>
      <c r="AB27" s="1"/>
      <c r="AC27" s="1"/>
      <c r="AD27" s="1"/>
      <c r="AE27" s="1"/>
      <c r="AF27" s="1"/>
      <c r="AG27" s="1"/>
    </row>
    <row r="28">
      <c r="A28" s="1"/>
      <c r="B28" s="53" t="s">
        <v>45</v>
      </c>
      <c r="C28" s="96"/>
      <c r="D28" s="97"/>
      <c r="E28" s="1"/>
      <c r="F28" s="15" t="b">
        <v>0</v>
      </c>
      <c r="G28" s="93"/>
      <c r="H28" s="94"/>
      <c r="I28" s="91"/>
      <c r="J28" s="91"/>
      <c r="K28" s="89" t="str">
        <f t="shared" si="5"/>
        <v/>
      </c>
      <c r="L28" s="1"/>
      <c r="M28" s="15"/>
      <c r="N28" s="91"/>
      <c r="O28" s="91"/>
      <c r="P28" s="46" t="str">
        <f t="shared" si="6"/>
        <v/>
      </c>
      <c r="Q28" s="1"/>
      <c r="R28" s="98" t="b">
        <v>0</v>
      </c>
      <c r="S28" s="90"/>
      <c r="T28" s="94"/>
      <c r="U28" s="99"/>
      <c r="V28" s="92"/>
      <c r="W28" s="1"/>
      <c r="X28" s="1"/>
      <c r="Z28" s="1"/>
      <c r="AA28" s="1"/>
      <c r="AB28" s="1"/>
      <c r="AC28" s="1"/>
      <c r="AD28" s="1"/>
      <c r="AE28" s="1"/>
      <c r="AF28" s="1"/>
      <c r="AG28" s="1"/>
    </row>
    <row r="29">
      <c r="A29" s="1"/>
      <c r="B29" s="100" t="s">
        <v>48</v>
      </c>
      <c r="C29" s="101">
        <f t="shared" ref="C29:D29" si="7">sum(C24:C28)</f>
        <v>0</v>
      </c>
      <c r="D29" s="102">
        <f t="shared" si="7"/>
        <v>0</v>
      </c>
      <c r="E29" s="1"/>
      <c r="F29" s="15" t="b">
        <v>0</v>
      </c>
      <c r="G29" s="93"/>
      <c r="H29" s="94"/>
      <c r="I29" s="91"/>
      <c r="J29" s="91"/>
      <c r="K29" s="89" t="str">
        <f t="shared" si="5"/>
        <v/>
      </c>
      <c r="L29" s="1"/>
      <c r="M29" s="15"/>
      <c r="N29" s="91"/>
      <c r="O29" s="91"/>
      <c r="P29" s="46" t="str">
        <f t="shared" si="6"/>
        <v/>
      </c>
      <c r="Q29" s="1"/>
      <c r="R29" s="98" t="b">
        <v>0</v>
      </c>
      <c r="S29" s="90"/>
      <c r="T29" s="103"/>
      <c r="U29" s="99"/>
      <c r="V29" s="104"/>
      <c r="W29" s="1"/>
      <c r="X29" s="1"/>
      <c r="Y29" s="1"/>
      <c r="Z29" s="1"/>
      <c r="AA29" s="105"/>
      <c r="AB29" s="1"/>
      <c r="AC29" s="1"/>
      <c r="AD29" s="1"/>
      <c r="AE29" s="1"/>
      <c r="AF29" s="1"/>
      <c r="AG29" s="1"/>
    </row>
    <row r="30">
      <c r="A30" s="1"/>
      <c r="B30" s="1"/>
      <c r="C30" s="1"/>
      <c r="D30" s="1"/>
      <c r="E30" s="1"/>
      <c r="F30" s="15" t="b">
        <v>0</v>
      </c>
      <c r="G30" s="93"/>
      <c r="H30" s="94"/>
      <c r="I30" s="91"/>
      <c r="J30" s="91"/>
      <c r="K30" s="89" t="str">
        <f t="shared" si="5"/>
        <v/>
      </c>
      <c r="L30" s="1"/>
      <c r="M30" s="15"/>
      <c r="N30" s="91"/>
      <c r="O30" s="91"/>
      <c r="P30" s="46" t="str">
        <f t="shared" si="6"/>
        <v/>
      </c>
      <c r="Q30" s="1"/>
      <c r="R30" s="98" t="b">
        <v>0</v>
      </c>
      <c r="S30" s="90"/>
      <c r="T30" s="103"/>
      <c r="U30" s="99"/>
      <c r="V30" s="104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>
      <c r="A31" s="1"/>
      <c r="B31" s="106" t="s">
        <v>53</v>
      </c>
      <c r="C31" s="4"/>
      <c r="D31" s="5"/>
      <c r="E31" s="1"/>
      <c r="F31" s="15" t="b">
        <v>0</v>
      </c>
      <c r="G31" s="93"/>
      <c r="H31" s="94"/>
      <c r="I31" s="91"/>
      <c r="J31" s="91"/>
      <c r="K31" s="89" t="str">
        <f t="shared" si="5"/>
        <v/>
      </c>
      <c r="L31" s="1"/>
      <c r="M31" s="15"/>
      <c r="N31" s="91"/>
      <c r="O31" s="91"/>
      <c r="P31" s="46" t="str">
        <f t="shared" si="6"/>
        <v/>
      </c>
      <c r="Q31" s="1"/>
      <c r="R31" s="98" t="b">
        <v>0</v>
      </c>
      <c r="S31" s="90"/>
      <c r="T31" s="103"/>
      <c r="U31" s="99"/>
      <c r="V31" s="104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>
      <c r="A32" s="1"/>
      <c r="B32" s="12"/>
      <c r="D32" s="13"/>
      <c r="E32" s="1"/>
      <c r="F32" s="15" t="b">
        <v>0</v>
      </c>
      <c r="G32" s="93"/>
      <c r="H32" s="94"/>
      <c r="I32" s="91"/>
      <c r="J32" s="91"/>
      <c r="K32" s="89" t="str">
        <f t="shared" si="5"/>
        <v/>
      </c>
      <c r="L32" s="1"/>
      <c r="M32" s="15"/>
      <c r="N32" s="107"/>
      <c r="O32" s="91"/>
      <c r="P32" s="46" t="str">
        <f t="shared" si="6"/>
        <v/>
      </c>
      <c r="Q32" s="1"/>
      <c r="R32" s="98" t="b">
        <v>0</v>
      </c>
      <c r="S32" s="90"/>
      <c r="T32" s="103"/>
      <c r="U32" s="99"/>
      <c r="V32" s="104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>
      <c r="A33" s="1"/>
      <c r="B33" s="108"/>
      <c r="C33" s="109" t="s">
        <v>27</v>
      </c>
      <c r="D33" s="110" t="s">
        <v>16</v>
      </c>
      <c r="E33" s="1"/>
      <c r="F33" s="15" t="b">
        <v>0</v>
      </c>
      <c r="G33" s="93"/>
      <c r="H33" s="94"/>
      <c r="I33" s="91"/>
      <c r="J33" s="91"/>
      <c r="K33" s="89" t="str">
        <f t="shared" si="5"/>
        <v/>
      </c>
      <c r="L33" s="1"/>
      <c r="M33" s="15"/>
      <c r="N33" s="91"/>
      <c r="O33" s="91"/>
      <c r="P33" s="46" t="str">
        <f t="shared" si="6"/>
        <v/>
      </c>
      <c r="Q33" s="1"/>
      <c r="R33" s="98" t="b">
        <v>0</v>
      </c>
      <c r="S33" s="90"/>
      <c r="T33" s="103"/>
      <c r="U33" s="99"/>
      <c r="V33" s="104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>
      <c r="A34" s="1"/>
      <c r="B34" s="15" t="s">
        <v>59</v>
      </c>
      <c r="C34" s="91"/>
      <c r="D34" s="92"/>
      <c r="E34" s="1"/>
      <c r="F34" s="15" t="b">
        <v>0</v>
      </c>
      <c r="G34" s="111"/>
      <c r="H34" s="94"/>
      <c r="I34" s="91"/>
      <c r="J34" s="91"/>
      <c r="K34" s="89" t="str">
        <f t="shared" si="5"/>
        <v/>
      </c>
      <c r="L34" s="1"/>
      <c r="M34" s="15"/>
      <c r="N34" s="91"/>
      <c r="O34" s="91"/>
      <c r="P34" s="46" t="str">
        <f t="shared" si="6"/>
        <v/>
      </c>
      <c r="Q34" s="1"/>
      <c r="R34" s="98" t="b">
        <v>0</v>
      </c>
      <c r="S34" s="90"/>
      <c r="T34" s="103"/>
      <c r="U34" s="99"/>
      <c r="V34" s="104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>
      <c r="A35" s="1"/>
      <c r="B35" s="15" t="s">
        <v>62</v>
      </c>
      <c r="C35" s="91"/>
      <c r="D35" s="92"/>
      <c r="E35" s="1"/>
      <c r="F35" s="15" t="b">
        <v>0</v>
      </c>
      <c r="G35" s="93"/>
      <c r="H35" s="94"/>
      <c r="I35" s="91"/>
      <c r="J35" s="91"/>
      <c r="K35" s="89" t="str">
        <f t="shared" si="5"/>
        <v/>
      </c>
      <c r="L35" s="1"/>
      <c r="M35" s="15"/>
      <c r="N35" s="91"/>
      <c r="O35" s="91"/>
      <c r="P35" s="46" t="str">
        <f t="shared" si="6"/>
        <v/>
      </c>
      <c r="Q35" s="1"/>
      <c r="R35" s="98" t="b">
        <v>0</v>
      </c>
      <c r="S35" s="90"/>
      <c r="T35" s="103"/>
      <c r="U35" s="99"/>
      <c r="V35" s="104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>
      <c r="A36" s="1"/>
      <c r="B36" s="15" t="s">
        <v>64</v>
      </c>
      <c r="C36" s="91"/>
      <c r="D36" s="92"/>
      <c r="E36" s="1"/>
      <c r="F36" s="15" t="b">
        <v>0</v>
      </c>
      <c r="G36" s="93"/>
      <c r="H36" s="94"/>
      <c r="I36" s="91"/>
      <c r="J36" s="91"/>
      <c r="K36" s="89" t="str">
        <f t="shared" si="5"/>
        <v/>
      </c>
      <c r="L36" s="1"/>
      <c r="M36" s="15"/>
      <c r="N36" s="91"/>
      <c r="O36" s="91"/>
      <c r="P36" s="46" t="str">
        <f t="shared" si="6"/>
        <v/>
      </c>
      <c r="Q36" s="1"/>
      <c r="R36" s="98" t="b">
        <v>0</v>
      </c>
      <c r="S36" s="90"/>
      <c r="T36" s="103"/>
      <c r="U36" s="99"/>
      <c r="V36" s="104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>
      <c r="A37" s="1"/>
      <c r="B37" s="15" t="s">
        <v>66</v>
      </c>
      <c r="C37" s="91"/>
      <c r="D37" s="92"/>
      <c r="E37" s="1"/>
      <c r="F37" s="98" t="b">
        <v>0</v>
      </c>
      <c r="G37" s="112"/>
      <c r="H37" s="103"/>
      <c r="I37" s="91"/>
      <c r="J37" s="91"/>
      <c r="K37" s="89"/>
      <c r="L37" s="1"/>
      <c r="M37" s="98"/>
      <c r="N37" s="99"/>
      <c r="O37" s="99"/>
      <c r="P37" s="46" t="str">
        <f t="shared" si="6"/>
        <v/>
      </c>
      <c r="Q37" s="1"/>
      <c r="R37" s="98" t="b">
        <v>0</v>
      </c>
      <c r="S37" s="90"/>
      <c r="T37" s="103"/>
      <c r="U37" s="99"/>
      <c r="V37" s="104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>
      <c r="A38" s="1"/>
      <c r="B38" s="15" t="s">
        <v>67</v>
      </c>
      <c r="C38" s="91"/>
      <c r="D38" s="92"/>
      <c r="E38" s="1"/>
      <c r="F38" s="98" t="b">
        <v>0</v>
      </c>
      <c r="G38" s="112"/>
      <c r="H38" s="103"/>
      <c r="I38" s="99"/>
      <c r="J38" s="91"/>
      <c r="K38" s="89" t="str">
        <f t="shared" ref="K38:K62" si="8">if(I38="",J38,(if(J38="","",I38-J38)))</f>
        <v/>
      </c>
      <c r="L38" s="1"/>
      <c r="M38" s="98"/>
      <c r="N38" s="91"/>
      <c r="O38" s="91"/>
      <c r="P38" s="46" t="str">
        <f t="shared" si="6"/>
        <v/>
      </c>
      <c r="Q38" s="1"/>
      <c r="R38" s="98" t="b">
        <v>0</v>
      </c>
      <c r="S38" s="90"/>
      <c r="T38" s="103"/>
      <c r="U38" s="99"/>
      <c r="V38" s="104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>
      <c r="A39" s="1"/>
      <c r="B39" s="113" t="s">
        <v>48</v>
      </c>
      <c r="C39" s="114">
        <f>SUM(C34:C38)</f>
        <v>0</v>
      </c>
      <c r="D39" s="115">
        <f>sum(D34:D38)</f>
        <v>0</v>
      </c>
      <c r="E39" s="1"/>
      <c r="F39" s="98" t="b">
        <v>0</v>
      </c>
      <c r="G39" s="112"/>
      <c r="H39" s="103"/>
      <c r="I39" s="99"/>
      <c r="J39" s="91"/>
      <c r="K39" s="89" t="str">
        <f t="shared" si="8"/>
        <v/>
      </c>
      <c r="L39" s="1"/>
      <c r="M39" s="98"/>
      <c r="N39" s="91"/>
      <c r="O39" s="91"/>
      <c r="P39" s="46" t="str">
        <f t="shared" si="6"/>
        <v/>
      </c>
      <c r="Q39" s="1"/>
      <c r="R39" s="98" t="b">
        <v>0</v>
      </c>
      <c r="S39" s="90"/>
      <c r="T39" s="103"/>
      <c r="U39" s="99"/>
      <c r="V39" s="104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>
      <c r="A40" s="1"/>
      <c r="B40" s="116"/>
      <c r="C40" s="116"/>
      <c r="D40" s="116"/>
      <c r="E40" s="1"/>
      <c r="F40" s="98" t="b">
        <v>0</v>
      </c>
      <c r="G40" s="112"/>
      <c r="H40" s="103"/>
      <c r="I40" s="99"/>
      <c r="J40" s="91"/>
      <c r="K40" s="89" t="str">
        <f t="shared" si="8"/>
        <v/>
      </c>
      <c r="L40" s="1"/>
      <c r="M40" s="98"/>
      <c r="N40" s="99"/>
      <c r="O40" s="99"/>
      <c r="P40" s="46" t="str">
        <f t="shared" si="6"/>
        <v/>
      </c>
      <c r="Q40" s="1"/>
      <c r="R40" s="98" t="b">
        <v>0</v>
      </c>
      <c r="S40" s="90"/>
      <c r="T40" s="103"/>
      <c r="U40" s="99"/>
      <c r="V40" s="104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>
      <c r="A41" s="1"/>
      <c r="B41" s="117" t="s">
        <v>68</v>
      </c>
      <c r="C41" s="4"/>
      <c r="D41" s="5"/>
      <c r="E41" s="1"/>
      <c r="F41" s="98" t="b">
        <v>0</v>
      </c>
      <c r="G41" s="112"/>
      <c r="H41" s="103"/>
      <c r="I41" s="99"/>
      <c r="J41" s="91"/>
      <c r="K41" s="89" t="str">
        <f t="shared" si="8"/>
        <v/>
      </c>
      <c r="L41" s="1"/>
      <c r="M41" s="98"/>
      <c r="N41" s="99"/>
      <c r="O41" s="99"/>
      <c r="P41" s="46" t="str">
        <f t="shared" si="6"/>
        <v/>
      </c>
      <c r="Q41" s="1"/>
      <c r="R41" s="98" t="b">
        <v>0</v>
      </c>
      <c r="S41" s="90"/>
      <c r="T41" s="103"/>
      <c r="U41" s="99"/>
      <c r="V41" s="104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>
      <c r="A42" s="1"/>
      <c r="B42" s="12"/>
      <c r="D42" s="13"/>
      <c r="E42" s="1"/>
      <c r="F42" s="98" t="b">
        <v>0</v>
      </c>
      <c r="G42" s="112"/>
      <c r="H42" s="103"/>
      <c r="I42" s="99"/>
      <c r="J42" s="99"/>
      <c r="K42" s="89" t="str">
        <f t="shared" si="8"/>
        <v/>
      </c>
      <c r="L42" s="1"/>
      <c r="M42" s="98"/>
      <c r="N42" s="91"/>
      <c r="O42" s="91"/>
      <c r="P42" s="46" t="str">
        <f t="shared" si="6"/>
        <v/>
      </c>
      <c r="Q42" s="1"/>
      <c r="R42" s="98" t="b">
        <v>0</v>
      </c>
      <c r="S42" s="90"/>
      <c r="T42" s="103"/>
      <c r="U42" s="99"/>
      <c r="V42" s="104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>
      <c r="A43" s="1"/>
      <c r="B43" s="118"/>
      <c r="C43" s="119" t="s">
        <v>15</v>
      </c>
      <c r="D43" s="120" t="s">
        <v>16</v>
      </c>
      <c r="E43" s="1"/>
      <c r="F43" s="98" t="b">
        <v>0</v>
      </c>
      <c r="G43" s="112"/>
      <c r="H43" s="103"/>
      <c r="I43" s="99"/>
      <c r="J43" s="91"/>
      <c r="K43" s="89" t="str">
        <f t="shared" si="8"/>
        <v/>
      </c>
      <c r="L43" s="1"/>
      <c r="M43" s="98"/>
      <c r="N43" s="91"/>
      <c r="O43" s="91"/>
      <c r="P43" s="46" t="str">
        <f t="shared" si="6"/>
        <v/>
      </c>
      <c r="Q43" s="1"/>
      <c r="R43" s="98" t="b">
        <v>0</v>
      </c>
      <c r="S43" s="90"/>
      <c r="T43" s="103"/>
      <c r="U43" s="99"/>
      <c r="V43" s="104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>
      <c r="A44" s="1"/>
      <c r="B44" s="44" t="s">
        <v>57</v>
      </c>
      <c r="C44" s="85"/>
      <c r="D44" s="86"/>
      <c r="E44" s="1"/>
      <c r="F44" s="98" t="b">
        <v>0</v>
      </c>
      <c r="G44" s="112"/>
      <c r="H44" s="103"/>
      <c r="I44" s="99"/>
      <c r="J44" s="91"/>
      <c r="K44" s="89" t="str">
        <f t="shared" si="8"/>
        <v/>
      </c>
      <c r="L44" s="1"/>
      <c r="M44" s="98"/>
      <c r="N44" s="99"/>
      <c r="O44" s="91"/>
      <c r="P44" s="46" t="str">
        <f t="shared" si="6"/>
        <v/>
      </c>
      <c r="Q44" s="1"/>
      <c r="R44" s="98" t="b">
        <v>0</v>
      </c>
      <c r="S44" s="90"/>
      <c r="T44" s="103"/>
      <c r="U44" s="99"/>
      <c r="V44" s="104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>
      <c r="A45" s="1"/>
      <c r="B45" s="15" t="s">
        <v>69</v>
      </c>
      <c r="C45" s="91"/>
      <c r="D45" s="92"/>
      <c r="E45" s="1"/>
      <c r="F45" s="98" t="b">
        <v>0</v>
      </c>
      <c r="G45" s="112"/>
      <c r="H45" s="103"/>
      <c r="I45" s="99"/>
      <c r="J45" s="99"/>
      <c r="K45" s="89" t="str">
        <f t="shared" si="8"/>
        <v/>
      </c>
      <c r="L45" s="1"/>
      <c r="M45" s="98"/>
      <c r="N45" s="99"/>
      <c r="O45" s="91"/>
      <c r="P45" s="46" t="str">
        <f t="shared" si="6"/>
        <v/>
      </c>
      <c r="Q45" s="1"/>
      <c r="R45" s="98" t="b">
        <v>0</v>
      </c>
      <c r="S45" s="90"/>
      <c r="T45" s="103"/>
      <c r="U45" s="99"/>
      <c r="V45" s="104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>
      <c r="A46" s="1"/>
      <c r="B46" s="15" t="s">
        <v>70</v>
      </c>
      <c r="C46" s="91"/>
      <c r="D46" s="92"/>
      <c r="E46" s="1"/>
      <c r="F46" s="98" t="b">
        <v>0</v>
      </c>
      <c r="G46" s="112"/>
      <c r="H46" s="103"/>
      <c r="I46" s="91"/>
      <c r="J46" s="91"/>
      <c r="K46" s="89" t="str">
        <f t="shared" si="8"/>
        <v/>
      </c>
      <c r="L46" s="1"/>
      <c r="M46" s="98"/>
      <c r="N46" s="99"/>
      <c r="O46" s="91"/>
      <c r="P46" s="46" t="str">
        <f t="shared" si="6"/>
        <v/>
      </c>
      <c r="Q46" s="1"/>
      <c r="R46" s="98" t="b">
        <v>0</v>
      </c>
      <c r="S46" s="90"/>
      <c r="T46" s="103"/>
      <c r="U46" s="99"/>
      <c r="V46" s="10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>
      <c r="A47" s="1"/>
      <c r="B47" s="15" t="s">
        <v>71</v>
      </c>
      <c r="C47" s="91"/>
      <c r="D47" s="92"/>
      <c r="E47" s="1"/>
      <c r="F47" s="15" t="b">
        <v>0</v>
      </c>
      <c r="G47" s="112"/>
      <c r="H47" s="103"/>
      <c r="I47" s="91"/>
      <c r="J47" s="91"/>
      <c r="K47" s="89" t="str">
        <f t="shared" si="8"/>
        <v/>
      </c>
      <c r="L47" s="1"/>
      <c r="M47" s="98"/>
      <c r="N47" s="99"/>
      <c r="O47" s="99"/>
      <c r="P47" s="46" t="str">
        <f t="shared" si="6"/>
        <v/>
      </c>
      <c r="Q47" s="1"/>
      <c r="R47" s="98" t="b">
        <v>0</v>
      </c>
      <c r="S47" s="90"/>
      <c r="T47" s="103"/>
      <c r="U47" s="99"/>
      <c r="V47" s="104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>
      <c r="A48" s="1"/>
      <c r="B48" s="15" t="s">
        <v>72</v>
      </c>
      <c r="C48" s="91"/>
      <c r="D48" s="92"/>
      <c r="E48" s="1"/>
      <c r="F48" s="15" t="b">
        <v>0</v>
      </c>
      <c r="G48" s="112"/>
      <c r="H48" s="103"/>
      <c r="I48" s="91"/>
      <c r="J48" s="91"/>
      <c r="K48" s="89" t="str">
        <f t="shared" si="8"/>
        <v/>
      </c>
      <c r="L48" s="1"/>
      <c r="M48" s="98"/>
      <c r="N48" s="99"/>
      <c r="O48" s="99"/>
      <c r="P48" s="46" t="str">
        <f t="shared" si="6"/>
        <v/>
      </c>
      <c r="Q48" s="1"/>
      <c r="R48" s="121" t="b">
        <v>0</v>
      </c>
      <c r="S48" s="122"/>
      <c r="T48" s="123"/>
      <c r="U48" s="124"/>
      <c r="V48" s="125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>
      <c r="A49" s="1"/>
      <c r="B49" s="15"/>
      <c r="C49" s="91"/>
      <c r="D49" s="92"/>
      <c r="E49" s="1"/>
      <c r="F49" s="15" t="b">
        <v>0</v>
      </c>
      <c r="G49" s="112"/>
      <c r="H49" s="103"/>
      <c r="I49" s="91"/>
      <c r="J49" s="91"/>
      <c r="K49" s="89" t="str">
        <f t="shared" si="8"/>
        <v/>
      </c>
      <c r="L49" s="1"/>
      <c r="M49" s="98"/>
      <c r="N49" s="99"/>
      <c r="O49" s="99"/>
      <c r="P49" s="46" t="str">
        <f t="shared" si="6"/>
        <v/>
      </c>
      <c r="Q49" s="1"/>
      <c r="R49" s="126"/>
      <c r="S49" s="127" t="s">
        <v>48</v>
      </c>
      <c r="T49" s="127"/>
      <c r="U49" s="128">
        <f>sum(U24:U48)</f>
        <v>0</v>
      </c>
      <c r="V49" s="129">
        <f>SUM(V24:V48)</f>
        <v>0</v>
      </c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>
      <c r="A50" s="1"/>
      <c r="B50" s="15"/>
      <c r="C50" s="91"/>
      <c r="D50" s="92"/>
      <c r="E50" s="1"/>
      <c r="F50" s="15" t="b">
        <v>0</v>
      </c>
      <c r="G50" s="112"/>
      <c r="H50" s="103"/>
      <c r="I50" s="91"/>
      <c r="J50" s="91"/>
      <c r="K50" s="89" t="str">
        <f t="shared" si="8"/>
        <v/>
      </c>
      <c r="M50" s="98"/>
      <c r="N50" s="99"/>
      <c r="O50" s="99"/>
      <c r="P50" s="46" t="str">
        <f t="shared" si="6"/>
        <v/>
      </c>
      <c r="R50" s="33"/>
      <c r="S50" s="33"/>
      <c r="T50" s="33"/>
      <c r="U50" s="33"/>
      <c r="V50" s="33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>
      <c r="A51" s="1"/>
      <c r="B51" s="15"/>
      <c r="C51" s="91"/>
      <c r="D51" s="92"/>
      <c r="E51" s="1"/>
      <c r="F51" s="15" t="b">
        <v>0</v>
      </c>
      <c r="G51" s="112"/>
      <c r="H51" s="103"/>
      <c r="I51" s="91"/>
      <c r="J51" s="91"/>
      <c r="K51" s="89" t="str">
        <f t="shared" si="8"/>
        <v/>
      </c>
      <c r="M51" s="98"/>
      <c r="N51" s="99"/>
      <c r="O51" s="99"/>
      <c r="P51" s="46" t="str">
        <f t="shared" si="6"/>
        <v/>
      </c>
      <c r="R51" s="130" t="s">
        <v>73</v>
      </c>
      <c r="S51" s="4"/>
      <c r="T51" s="4"/>
      <c r="U51" s="4"/>
      <c r="V51" s="5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>
      <c r="A52" s="1"/>
      <c r="B52" s="15"/>
      <c r="C52" s="91"/>
      <c r="D52" s="92"/>
      <c r="E52" s="1"/>
      <c r="F52" s="15" t="b">
        <v>0</v>
      </c>
      <c r="G52" s="112"/>
      <c r="H52" s="103"/>
      <c r="I52" s="91"/>
      <c r="J52" s="91"/>
      <c r="K52" s="89" t="str">
        <f t="shared" si="8"/>
        <v/>
      </c>
      <c r="M52" s="98"/>
      <c r="N52" s="99"/>
      <c r="O52" s="99"/>
      <c r="P52" s="46" t="str">
        <f t="shared" si="6"/>
        <v/>
      </c>
      <c r="R52" s="12"/>
      <c r="V52" s="13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>
      <c r="A53" s="1"/>
      <c r="B53" s="15"/>
      <c r="C53" s="91"/>
      <c r="D53" s="92"/>
      <c r="E53" s="1"/>
      <c r="F53" s="15" t="b">
        <v>0</v>
      </c>
      <c r="G53" s="112"/>
      <c r="H53" s="103"/>
      <c r="I53" s="91"/>
      <c r="J53" s="91"/>
      <c r="K53" s="89" t="str">
        <f t="shared" si="8"/>
        <v/>
      </c>
      <c r="M53" s="98"/>
      <c r="N53" s="99"/>
      <c r="O53" s="99"/>
      <c r="P53" s="46" t="str">
        <f t="shared" si="6"/>
        <v/>
      </c>
      <c r="R53" s="131"/>
      <c r="S53" s="10"/>
      <c r="T53" s="10"/>
      <c r="U53" s="10"/>
      <c r="V53" s="1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>
      <c r="A54" s="1"/>
      <c r="B54" s="15"/>
      <c r="C54" s="91"/>
      <c r="D54" s="92"/>
      <c r="E54" s="1"/>
      <c r="F54" s="15" t="b">
        <v>0</v>
      </c>
      <c r="G54" s="112"/>
      <c r="H54" s="103"/>
      <c r="I54" s="91"/>
      <c r="J54" s="91"/>
      <c r="K54" s="89" t="str">
        <f t="shared" si="8"/>
        <v/>
      </c>
      <c r="M54" s="98"/>
      <c r="N54" s="99"/>
      <c r="O54" s="99"/>
      <c r="P54" s="46" t="str">
        <f t="shared" si="6"/>
        <v/>
      </c>
      <c r="R54" s="132"/>
      <c r="S54" s="133"/>
      <c r="T54" s="133"/>
      <c r="U54" s="133"/>
      <c r="V54" s="17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>
      <c r="A55" s="1"/>
      <c r="B55" s="15"/>
      <c r="C55" s="91"/>
      <c r="D55" s="92"/>
      <c r="E55" s="1"/>
      <c r="F55" s="15" t="b">
        <v>0</v>
      </c>
      <c r="G55" s="112"/>
      <c r="H55" s="103"/>
      <c r="I55" s="91"/>
      <c r="J55" s="91"/>
      <c r="K55" s="89" t="str">
        <f t="shared" si="8"/>
        <v/>
      </c>
      <c r="M55" s="98"/>
      <c r="N55" s="99"/>
      <c r="O55" s="99"/>
      <c r="P55" s="46" t="str">
        <f t="shared" si="6"/>
        <v/>
      </c>
      <c r="R55" s="132"/>
      <c r="S55" s="133"/>
      <c r="T55" s="133"/>
      <c r="U55" s="133"/>
      <c r="V55" s="17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>
      <c r="A56" s="1"/>
      <c r="B56" s="15"/>
      <c r="C56" s="91"/>
      <c r="D56" s="92"/>
      <c r="E56" s="1"/>
      <c r="F56" s="15" t="b">
        <v>0</v>
      </c>
      <c r="G56" s="112"/>
      <c r="H56" s="103"/>
      <c r="I56" s="91"/>
      <c r="J56" s="91"/>
      <c r="K56" s="89" t="str">
        <f t="shared" si="8"/>
        <v/>
      </c>
      <c r="M56" s="98"/>
      <c r="N56" s="99"/>
      <c r="O56" s="99"/>
      <c r="P56" s="46" t="str">
        <f t="shared" si="6"/>
        <v/>
      </c>
      <c r="R56" s="134"/>
      <c r="S56" s="133"/>
      <c r="T56" s="133"/>
      <c r="U56" s="133"/>
      <c r="V56" s="17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>
      <c r="A57" s="1"/>
      <c r="B57" s="15"/>
      <c r="C57" s="91"/>
      <c r="D57" s="92"/>
      <c r="E57" s="1"/>
      <c r="F57" s="15" t="b">
        <v>0</v>
      </c>
      <c r="G57" s="112"/>
      <c r="H57" s="103"/>
      <c r="I57" s="91"/>
      <c r="J57" s="91"/>
      <c r="K57" s="89" t="str">
        <f t="shared" si="8"/>
        <v/>
      </c>
      <c r="M57" s="98"/>
      <c r="N57" s="99"/>
      <c r="O57" s="99"/>
      <c r="P57" s="46" t="str">
        <f t="shared" si="6"/>
        <v/>
      </c>
      <c r="R57" s="134"/>
      <c r="S57" s="133"/>
      <c r="T57" s="133"/>
      <c r="U57" s="133"/>
      <c r="V57" s="17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>
      <c r="A58" s="1"/>
      <c r="B58" s="15"/>
      <c r="C58" s="91"/>
      <c r="D58" s="92"/>
      <c r="E58" s="1"/>
      <c r="F58" s="15" t="b">
        <v>0</v>
      </c>
      <c r="G58" s="112"/>
      <c r="H58" s="103"/>
      <c r="I58" s="91"/>
      <c r="J58" s="91"/>
      <c r="K58" s="89" t="str">
        <f t="shared" si="8"/>
        <v/>
      </c>
      <c r="M58" s="98"/>
      <c r="N58" s="99"/>
      <c r="O58" s="99"/>
      <c r="P58" s="46" t="str">
        <f t="shared" si="6"/>
        <v/>
      </c>
      <c r="R58" s="134"/>
      <c r="S58" s="133"/>
      <c r="T58" s="133"/>
      <c r="U58" s="133"/>
      <c r="V58" s="17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>
      <c r="A59" s="1"/>
      <c r="B59" s="15"/>
      <c r="C59" s="91"/>
      <c r="D59" s="92"/>
      <c r="E59" s="1"/>
      <c r="F59" s="15" t="b">
        <v>0</v>
      </c>
      <c r="G59" s="112"/>
      <c r="H59" s="103"/>
      <c r="I59" s="91"/>
      <c r="J59" s="91"/>
      <c r="K59" s="89" t="str">
        <f t="shared" si="8"/>
        <v/>
      </c>
      <c r="M59" s="98"/>
      <c r="N59" s="99"/>
      <c r="O59" s="99"/>
      <c r="P59" s="46" t="str">
        <f t="shared" si="6"/>
        <v/>
      </c>
      <c r="R59" s="134"/>
      <c r="S59" s="133"/>
      <c r="T59" s="133"/>
      <c r="U59" s="133"/>
      <c r="V59" s="17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>
      <c r="A60" s="1"/>
      <c r="B60" s="15"/>
      <c r="C60" s="91"/>
      <c r="D60" s="92"/>
      <c r="E60" s="1"/>
      <c r="F60" s="15" t="b">
        <v>0</v>
      </c>
      <c r="G60" s="112"/>
      <c r="H60" s="103"/>
      <c r="I60" s="91"/>
      <c r="J60" s="91"/>
      <c r="K60" s="89" t="str">
        <f t="shared" si="8"/>
        <v/>
      </c>
      <c r="M60" s="98"/>
      <c r="N60" s="99"/>
      <c r="O60" s="99"/>
      <c r="P60" s="46" t="str">
        <f t="shared" si="6"/>
        <v/>
      </c>
      <c r="R60" s="134"/>
      <c r="S60" s="133"/>
      <c r="T60" s="133"/>
      <c r="U60" s="133"/>
      <c r="V60" s="17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>
      <c r="A61" s="1"/>
      <c r="B61" s="15"/>
      <c r="C61" s="91"/>
      <c r="D61" s="92"/>
      <c r="E61" s="1"/>
      <c r="F61" s="15" t="b">
        <v>0</v>
      </c>
      <c r="G61" s="112"/>
      <c r="H61" s="103"/>
      <c r="I61" s="91"/>
      <c r="J61" s="91"/>
      <c r="K61" s="89" t="str">
        <f t="shared" si="8"/>
        <v/>
      </c>
      <c r="M61" s="98"/>
      <c r="N61" s="99"/>
      <c r="O61" s="99"/>
      <c r="P61" s="46" t="str">
        <f t="shared" si="6"/>
        <v/>
      </c>
      <c r="R61" s="134"/>
      <c r="S61" s="133"/>
      <c r="T61" s="133"/>
      <c r="U61" s="133"/>
      <c r="V61" s="17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>
      <c r="A62" s="1"/>
      <c r="B62" s="15"/>
      <c r="C62" s="91"/>
      <c r="D62" s="92"/>
      <c r="E62" s="1"/>
      <c r="F62" s="15" t="b">
        <v>0</v>
      </c>
      <c r="G62" s="112"/>
      <c r="H62" s="103"/>
      <c r="I62" s="91"/>
      <c r="J62" s="91"/>
      <c r="K62" s="89" t="str">
        <f t="shared" si="8"/>
        <v/>
      </c>
      <c r="M62" s="98"/>
      <c r="N62" s="99"/>
      <c r="O62" s="99"/>
      <c r="P62" s="46" t="str">
        <f t="shared" si="6"/>
        <v/>
      </c>
      <c r="R62" s="134"/>
      <c r="S62" s="133"/>
      <c r="T62" s="133"/>
      <c r="U62" s="133"/>
      <c r="V62" s="17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>
      <c r="A63" s="1"/>
      <c r="B63" s="135" t="s">
        <v>48</v>
      </c>
      <c r="C63" s="136">
        <f t="shared" ref="C63:D63" si="9">SUM(C44:C62)</f>
        <v>0</v>
      </c>
      <c r="D63" s="137">
        <f t="shared" si="9"/>
        <v>0</v>
      </c>
      <c r="E63" s="1"/>
      <c r="F63" s="138"/>
      <c r="G63" s="139" t="s">
        <v>48</v>
      </c>
      <c r="H63" s="140"/>
      <c r="I63" s="141">
        <f t="shared" ref="I63:J63" si="10">SUM(I24:I62)</f>
        <v>0</v>
      </c>
      <c r="J63" s="141">
        <f t="shared" si="10"/>
        <v>0</v>
      </c>
      <c r="K63" s="142">
        <f>sum(K24:K62)</f>
        <v>0</v>
      </c>
      <c r="L63" s="1"/>
      <c r="M63" s="143" t="s">
        <v>48</v>
      </c>
      <c r="N63" s="144">
        <f t="shared" ref="N63:P63" si="11">SUM(N24:N62)</f>
        <v>0</v>
      </c>
      <c r="O63" s="144">
        <f t="shared" si="11"/>
        <v>0</v>
      </c>
      <c r="P63" s="145">
        <f t="shared" si="11"/>
        <v>0</v>
      </c>
      <c r="Q63" s="1"/>
      <c r="R63" s="146"/>
      <c r="S63" s="147"/>
      <c r="T63" s="147"/>
      <c r="U63" s="147"/>
      <c r="V63" s="24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>
      <c r="A64" s="1"/>
      <c r="B64" s="1"/>
      <c r="C64" s="1"/>
      <c r="D64" s="1"/>
      <c r="E64" s="1"/>
      <c r="F64" s="1"/>
      <c r="G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>
      <c r="A65" s="1"/>
      <c r="B65" s="1"/>
      <c r="C65" s="1"/>
      <c r="D65" s="1"/>
      <c r="E65" s="1"/>
      <c r="F65" s="1"/>
      <c r="G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>
      <c r="A66" s="1"/>
      <c r="B66" s="1"/>
      <c r="C66" s="1"/>
      <c r="D66" s="1"/>
      <c r="E66" s="1"/>
      <c r="F66" s="1"/>
      <c r="G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>
      <c r="A67" s="1"/>
      <c r="B67" s="1"/>
      <c r="C67" s="1"/>
      <c r="D67" s="1"/>
      <c r="E67" s="1"/>
      <c r="F67" s="1"/>
      <c r="G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>
      <c r="A68" s="1"/>
      <c r="B68" s="1"/>
      <c r="C68" s="1"/>
      <c r="D68" s="1"/>
      <c r="E68" s="1"/>
      <c r="F68" s="1"/>
      <c r="G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>
      <c r="A69" s="1"/>
      <c r="B69" s="1"/>
      <c r="C69" s="1"/>
      <c r="D69" s="1"/>
      <c r="E69" s="1"/>
      <c r="F69" s="1"/>
      <c r="G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>
      <c r="A70" s="1"/>
      <c r="B70" s="1"/>
      <c r="C70" s="1"/>
      <c r="D70" s="1"/>
      <c r="E70" s="1"/>
      <c r="F70" s="1"/>
      <c r="G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>
      <c r="A71" s="1"/>
      <c r="B71" s="1"/>
      <c r="C71" s="1"/>
      <c r="D71" s="1"/>
      <c r="E71" s="1"/>
      <c r="F71" s="1"/>
      <c r="G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>
      <c r="A72" s="1"/>
      <c r="B72" s="1"/>
      <c r="C72" s="1"/>
      <c r="D72" s="1"/>
      <c r="E72" s="1"/>
      <c r="F72" s="1"/>
      <c r="G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>
      <c r="A73" s="1"/>
      <c r="B73" s="1"/>
      <c r="C73" s="1"/>
      <c r="D73" s="1"/>
      <c r="E73" s="1"/>
      <c r="F73" s="1"/>
      <c r="G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>
      <c r="A74" s="1"/>
      <c r="B74" s="1"/>
      <c r="C74" s="1"/>
      <c r="D74" s="1"/>
      <c r="E74" s="1"/>
      <c r="F74" s="1"/>
      <c r="G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>
      <c r="A75" s="1"/>
      <c r="B75" s="1"/>
      <c r="C75" s="1"/>
      <c r="D75" s="1"/>
      <c r="E75" s="1"/>
      <c r="F75" s="1"/>
      <c r="G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>
      <c r="A76" s="1"/>
      <c r="B76" s="1"/>
      <c r="C76" s="1"/>
      <c r="D76" s="1"/>
      <c r="E76" s="1"/>
      <c r="F76" s="1"/>
      <c r="G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>
      <c r="A77" s="1"/>
      <c r="B77" s="1"/>
      <c r="C77" s="1"/>
      <c r="D77" s="1"/>
      <c r="E77" s="1"/>
      <c r="F77" s="1"/>
      <c r="G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>
      <c r="A78" s="1"/>
      <c r="B78" s="1"/>
      <c r="C78" s="1"/>
      <c r="D78" s="1"/>
      <c r="E78" s="1"/>
      <c r="F78" s="1"/>
      <c r="G78" s="1"/>
      <c r="H78" s="189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</row>
  </sheetData>
  <mergeCells count="35">
    <mergeCell ref="B4:D5"/>
    <mergeCell ref="J4:M6"/>
    <mergeCell ref="N4:P6"/>
    <mergeCell ref="Q4:T6"/>
    <mergeCell ref="U4:V6"/>
    <mergeCell ref="C6:D6"/>
    <mergeCell ref="C7:D7"/>
    <mergeCell ref="F4:I6"/>
    <mergeCell ref="F7:I9"/>
    <mergeCell ref="J7:M9"/>
    <mergeCell ref="N7:P9"/>
    <mergeCell ref="Q7:T9"/>
    <mergeCell ref="U7:V9"/>
    <mergeCell ref="C8:D8"/>
    <mergeCell ref="C9:D9"/>
    <mergeCell ref="B11:D12"/>
    <mergeCell ref="I15:I16"/>
    <mergeCell ref="B21:D22"/>
    <mergeCell ref="F21:J22"/>
    <mergeCell ref="M21:P22"/>
    <mergeCell ref="R21:V22"/>
    <mergeCell ref="R57:V57"/>
    <mergeCell ref="R58:V58"/>
    <mergeCell ref="R59:V59"/>
    <mergeCell ref="R60:V60"/>
    <mergeCell ref="R61:V61"/>
    <mergeCell ref="R62:V62"/>
    <mergeCell ref="R63:V63"/>
    <mergeCell ref="B31:D32"/>
    <mergeCell ref="B41:D42"/>
    <mergeCell ref="R51:V52"/>
    <mergeCell ref="R53:V53"/>
    <mergeCell ref="R54:V54"/>
    <mergeCell ref="R55:V55"/>
    <mergeCell ref="R56:V56"/>
  </mergeCells>
  <conditionalFormatting sqref="K24:K62">
    <cfRule type="cellIs" dxfId="0" priority="1" operator="greaterThan">
      <formula>0</formula>
    </cfRule>
  </conditionalFormatting>
  <conditionalFormatting sqref="K24:K62">
    <cfRule type="cellIs" dxfId="1" priority="2" operator="lessThan">
      <formula>0</formula>
    </cfRule>
  </conditionalFormatting>
  <conditionalFormatting sqref="P24:P62">
    <cfRule type="cellIs" dxfId="0" priority="3" operator="greaterThan">
      <formula>0</formula>
    </cfRule>
  </conditionalFormatting>
  <conditionalFormatting sqref="P24:P62">
    <cfRule type="cellIs" dxfId="1" priority="4" operator="lessThan">
      <formula>0</formula>
    </cfRule>
  </conditionalFormatting>
  <conditionalFormatting sqref="P24:P62">
    <cfRule type="cellIs" dxfId="2" priority="5" operator="equal">
      <formula>0</formula>
    </cfRule>
  </conditionalFormatting>
  <conditionalFormatting sqref="K24:K62">
    <cfRule type="cellIs" dxfId="2" priority="6" operator="equal">
      <formula>0</formula>
    </cfRule>
  </conditionalFormatting>
  <conditionalFormatting sqref="K63">
    <cfRule type="cellIs" dxfId="3" priority="7" operator="greaterThan">
      <formula>0</formula>
    </cfRule>
  </conditionalFormatting>
  <conditionalFormatting sqref="K63">
    <cfRule type="cellIs" dxfId="4" priority="8" operator="lessThan">
      <formula>0</formula>
    </cfRule>
  </conditionalFormatting>
  <conditionalFormatting sqref="P63">
    <cfRule type="cellIs" dxfId="3" priority="9" operator="greaterThan">
      <formula>0</formula>
    </cfRule>
  </conditionalFormatting>
  <conditionalFormatting sqref="K63">
    <cfRule type="cellIs" dxfId="5" priority="10" operator="equal">
      <formula>0</formula>
    </cfRule>
  </conditionalFormatting>
  <dataValidations>
    <dataValidation type="list" allowBlank="1" showErrorMessage="1" sqref="T24:T27 T29:T48 H24:H62">
      <formula1>setting!$A$2:$A$32</formula1>
    </dataValidation>
    <dataValidation type="list" allowBlank="1" showErrorMessage="1" sqref="T28">
      <formula1>setting!$A$2:$A$33</formula1>
    </dataValidation>
    <dataValidation type="list" allowBlank="1" showErrorMessage="1" sqref="C8">
      <formula1>"$,£,€,¥,₽,₩,R$"</formula1>
    </dataValidation>
    <dataValidation type="custom" allowBlank="1" showDropDown="1" sqref="C7">
      <formula1>OR(NOT(ISERROR(DATEVALUE(C7))), AND(ISNUMBER(C7), LEFT(CELL("format", C7))="D"))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15.0"/>
    <col customWidth="1" min="5" max="5" width="1.38"/>
    <col customWidth="1" min="6" max="6" width="3.38"/>
    <col customWidth="1" min="7" max="7" width="15.5"/>
    <col customWidth="1" min="8" max="8" width="7.0"/>
    <col customWidth="1" min="12" max="12" width="2.63"/>
    <col customWidth="1" min="13" max="13" width="15.13"/>
    <col customWidth="1" min="17" max="17" width="2.63"/>
    <col customWidth="1" min="18" max="18" width="3.13"/>
    <col customWidth="1" min="19" max="19" width="13.25"/>
    <col customWidth="1" min="20" max="20" width="5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40.5" customHeight="1">
      <c r="A2" s="1"/>
      <c r="B2" s="1"/>
      <c r="C2" s="2" t="s">
        <v>97</v>
      </c>
      <c r="D2" s="1"/>
      <c r="E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ht="5.25" customHeight="1">
      <c r="A3" s="1"/>
      <c r="B3" s="1"/>
      <c r="C3" s="1"/>
      <c r="D3" s="1"/>
      <c r="E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>
      <c r="A4" s="1"/>
      <c r="B4" s="3" t="s">
        <v>1</v>
      </c>
      <c r="C4" s="4"/>
      <c r="D4" s="5"/>
      <c r="E4" s="1"/>
      <c r="F4" s="6" t="s">
        <v>2</v>
      </c>
      <c r="G4" s="4"/>
      <c r="H4" s="4"/>
      <c r="I4" s="4"/>
      <c r="J4" s="7" t="s">
        <v>3</v>
      </c>
      <c r="K4" s="4"/>
      <c r="L4" s="4"/>
      <c r="M4" s="4"/>
      <c r="N4" s="7" t="s">
        <v>4</v>
      </c>
      <c r="O4" s="4"/>
      <c r="P4" s="4"/>
      <c r="Q4" s="8" t="s">
        <v>5</v>
      </c>
      <c r="R4" s="4"/>
      <c r="S4" s="4"/>
      <c r="T4" s="4"/>
      <c r="U4" s="7" t="s">
        <v>6</v>
      </c>
      <c r="V4" s="5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>
      <c r="A5" s="1"/>
      <c r="B5" s="9"/>
      <c r="C5" s="10"/>
      <c r="D5" s="11"/>
      <c r="E5" s="1"/>
      <c r="F5" s="12"/>
      <c r="V5" s="13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>
      <c r="A6" s="1"/>
      <c r="B6" s="15" t="s">
        <v>7</v>
      </c>
      <c r="C6" s="16">
        <v>45992.0</v>
      </c>
      <c r="D6" s="17"/>
      <c r="E6" s="1"/>
      <c r="F6" s="12"/>
      <c r="V6" s="13"/>
      <c r="W6" s="1"/>
      <c r="X6" s="1"/>
      <c r="Y6" s="1"/>
      <c r="Z6" s="1"/>
      <c r="AA6" s="1"/>
      <c r="AB6" s="1"/>
      <c r="AC6" s="14"/>
      <c r="AD6" s="14"/>
      <c r="AE6" s="14"/>
      <c r="AF6" s="14"/>
      <c r="AG6" s="1"/>
    </row>
    <row r="7">
      <c r="A7" s="1"/>
      <c r="B7" s="15" t="s">
        <v>8</v>
      </c>
      <c r="C7" s="16">
        <v>46022.0</v>
      </c>
      <c r="D7" s="17"/>
      <c r="E7" s="1"/>
      <c r="F7" s="18">
        <f>D15</f>
        <v>0</v>
      </c>
      <c r="J7" s="19">
        <f>D19</f>
        <v>0</v>
      </c>
      <c r="N7" s="20">
        <f>D17</f>
        <v>0</v>
      </c>
      <c r="Q7" s="19">
        <f>D18</f>
        <v>0</v>
      </c>
      <c r="U7" s="19">
        <f>D16</f>
        <v>0</v>
      </c>
      <c r="V7" s="13"/>
      <c r="W7" s="1"/>
      <c r="X7" s="1"/>
      <c r="Y7" s="1"/>
      <c r="Z7" s="1"/>
      <c r="AA7" s="1"/>
      <c r="AB7" s="1"/>
      <c r="AC7" s="14"/>
      <c r="AD7" s="14"/>
      <c r="AE7" s="14"/>
      <c r="AF7" s="14"/>
      <c r="AG7" s="1"/>
    </row>
    <row r="8">
      <c r="A8" s="1"/>
      <c r="B8" s="15" t="s">
        <v>9</v>
      </c>
      <c r="C8" s="21" t="s">
        <v>10</v>
      </c>
      <c r="D8" s="17"/>
      <c r="E8" s="1"/>
      <c r="F8" s="12"/>
      <c r="V8" s="13"/>
      <c r="W8" s="1"/>
      <c r="X8" s="1"/>
      <c r="Y8" s="1"/>
      <c r="AA8" s="1"/>
      <c r="AB8" s="1"/>
      <c r="AC8" s="14"/>
      <c r="AD8" s="14"/>
      <c r="AE8" s="14"/>
      <c r="AF8" s="14"/>
      <c r="AG8" s="1"/>
    </row>
    <row r="9">
      <c r="A9" s="1"/>
      <c r="B9" s="22" t="s">
        <v>11</v>
      </c>
      <c r="C9" s="23">
        <f>November!J7</f>
        <v>0</v>
      </c>
      <c r="D9" s="24"/>
      <c r="E9" s="1"/>
      <c r="F9" s="25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7"/>
      <c r="W9" s="1"/>
      <c r="X9" s="1"/>
      <c r="Y9" s="1"/>
      <c r="Z9" s="1"/>
      <c r="AA9" s="1"/>
      <c r="AB9" s="1"/>
      <c r="AC9" s="14"/>
      <c r="AD9" s="14"/>
      <c r="AE9" s="14"/>
      <c r="AF9" s="14"/>
      <c r="AG9" s="1"/>
    </row>
    <row r="10">
      <c r="A10" s="1"/>
      <c r="B10" s="28" t="s">
        <v>12</v>
      </c>
      <c r="C10" s="29">
        <f>D16+D17+D18</f>
        <v>0</v>
      </c>
      <c r="D10" s="29">
        <f>D19</f>
        <v>0</v>
      </c>
      <c r="E10" s="1"/>
      <c r="W10" s="1"/>
      <c r="X10" s="1"/>
      <c r="Y10" s="1"/>
      <c r="Z10" s="1"/>
      <c r="AA10" s="1"/>
      <c r="AB10" s="1"/>
      <c r="AC10" s="14"/>
      <c r="AD10" s="14"/>
      <c r="AE10" s="14"/>
      <c r="AF10" s="14"/>
      <c r="AG10" s="1"/>
    </row>
    <row r="11">
      <c r="A11" s="1"/>
      <c r="B11" s="31" t="s">
        <v>13</v>
      </c>
      <c r="C11" s="4"/>
      <c r="D11" s="5"/>
      <c r="E11" s="1"/>
      <c r="F11" s="32"/>
      <c r="G11" s="33"/>
      <c r="H11" s="33"/>
      <c r="I11" s="33"/>
      <c r="J11" s="33"/>
      <c r="K11" s="34"/>
      <c r="M11" s="32"/>
      <c r="N11" s="33"/>
      <c r="O11" s="33"/>
      <c r="P11" s="34"/>
      <c r="R11" s="32"/>
      <c r="S11" s="33"/>
      <c r="T11" s="33"/>
      <c r="U11" s="33"/>
      <c r="V11" s="34"/>
      <c r="W11" s="1"/>
      <c r="X11" s="1"/>
      <c r="Y11" s="1"/>
      <c r="Z11" s="1"/>
      <c r="AA11" s="1"/>
      <c r="AB11" s="1"/>
      <c r="AC11" s="14"/>
      <c r="AD11" s="30"/>
      <c r="AE11" s="30"/>
      <c r="AF11" s="14"/>
      <c r="AG11" s="1"/>
    </row>
    <row r="12">
      <c r="A12" s="1"/>
      <c r="B12" s="12"/>
      <c r="D12" s="13"/>
      <c r="E12" s="1"/>
      <c r="F12" s="35"/>
      <c r="G12" s="36"/>
      <c r="H12" s="36"/>
      <c r="I12" s="36"/>
      <c r="J12" s="36"/>
      <c r="K12" s="37"/>
      <c r="L12" s="1"/>
      <c r="M12" s="38"/>
      <c r="N12" s="1"/>
      <c r="O12" s="1"/>
      <c r="P12" s="39"/>
      <c r="Q12" s="1"/>
      <c r="R12" s="38"/>
      <c r="S12" s="1"/>
      <c r="T12" s="1"/>
      <c r="U12" s="1"/>
      <c r="V12" s="39"/>
      <c r="W12" s="1"/>
      <c r="X12" s="1"/>
      <c r="Y12" s="1"/>
      <c r="Z12" s="1"/>
      <c r="AA12" s="1"/>
      <c r="AB12" s="1"/>
      <c r="AC12" s="14"/>
      <c r="AD12" s="28" t="s">
        <v>14</v>
      </c>
      <c r="AE12" s="29">
        <f>V49</f>
        <v>0</v>
      </c>
      <c r="AF12" s="14"/>
      <c r="AG12" s="1"/>
    </row>
    <row r="13">
      <c r="A13" s="1"/>
      <c r="B13" s="40"/>
      <c r="C13" s="41" t="s">
        <v>15</v>
      </c>
      <c r="D13" s="42" t="s">
        <v>16</v>
      </c>
      <c r="E13" s="1"/>
      <c r="F13" s="43"/>
      <c r="G13" s="36"/>
      <c r="H13" s="36"/>
      <c r="I13" s="36"/>
      <c r="J13" s="36"/>
      <c r="K13" s="37"/>
      <c r="L13" s="1"/>
      <c r="M13" s="38"/>
      <c r="N13" s="1"/>
      <c r="O13" s="1"/>
      <c r="P13" s="39"/>
      <c r="Q13" s="1"/>
      <c r="R13" s="38"/>
      <c r="S13" s="1"/>
      <c r="T13" s="1"/>
      <c r="U13" s="1"/>
      <c r="V13" s="39"/>
      <c r="W13" s="1"/>
      <c r="X13" s="1"/>
      <c r="Y13" s="1"/>
      <c r="Z13" s="1"/>
      <c r="AA13" s="1"/>
      <c r="AB13" s="1"/>
      <c r="AC13" s="14"/>
      <c r="AD13" s="28" t="s">
        <v>17</v>
      </c>
      <c r="AE13" s="29">
        <f>J63</f>
        <v>0</v>
      </c>
      <c r="AF13" s="14"/>
      <c r="AG13" s="1"/>
    </row>
    <row r="14">
      <c r="A14" s="1"/>
      <c r="B14" s="44" t="s">
        <v>11</v>
      </c>
      <c r="C14" s="45">
        <f>C9</f>
        <v>0</v>
      </c>
      <c r="D14" s="46">
        <f>C9</f>
        <v>0</v>
      </c>
      <c r="E14" s="47" t="s">
        <v>18</v>
      </c>
      <c r="F14" s="43"/>
      <c r="G14" s="36"/>
      <c r="H14" s="36"/>
      <c r="I14" s="36"/>
      <c r="J14" s="36"/>
      <c r="K14" s="37"/>
      <c r="L14" s="1"/>
      <c r="M14" s="38"/>
      <c r="N14" s="1"/>
      <c r="O14" s="1"/>
      <c r="P14" s="39"/>
      <c r="Q14" s="1"/>
      <c r="R14" s="38"/>
      <c r="S14" s="1"/>
      <c r="T14" s="1"/>
      <c r="U14" s="1"/>
      <c r="V14" s="39"/>
      <c r="W14" s="1"/>
      <c r="X14" s="1"/>
      <c r="Y14" s="1"/>
      <c r="Z14" s="1"/>
      <c r="AA14" s="1"/>
      <c r="AB14" s="1"/>
      <c r="AC14" s="14"/>
      <c r="AD14" s="28" t="s">
        <v>19</v>
      </c>
      <c r="AE14" s="48">
        <f>O63</f>
        <v>0</v>
      </c>
      <c r="AF14" s="14"/>
      <c r="AG14" s="1"/>
    </row>
    <row r="15">
      <c r="A15" s="1"/>
      <c r="B15" s="15" t="s">
        <v>20</v>
      </c>
      <c r="C15" s="49">
        <f t="shared" ref="C15:D15" si="1">C29+C39</f>
        <v>0</v>
      </c>
      <c r="D15" s="50">
        <f t="shared" si="1"/>
        <v>0</v>
      </c>
      <c r="E15" s="1"/>
      <c r="F15" s="43"/>
      <c r="G15" s="51"/>
      <c r="H15" s="51"/>
      <c r="I15" s="52">
        <f>D19</f>
        <v>0</v>
      </c>
      <c r="J15" s="51"/>
      <c r="K15" s="37"/>
      <c r="L15" s="1"/>
      <c r="M15" s="38"/>
      <c r="N15" s="1"/>
      <c r="O15" s="1"/>
      <c r="P15" s="39"/>
      <c r="Q15" s="1"/>
      <c r="R15" s="38"/>
      <c r="S15" s="1"/>
      <c r="T15" s="1"/>
      <c r="U15" s="1"/>
      <c r="V15" s="39"/>
      <c r="W15" s="1"/>
      <c r="X15" s="1"/>
      <c r="Y15" s="1"/>
      <c r="Z15" s="1"/>
      <c r="AA15" s="1"/>
      <c r="AB15" s="1"/>
      <c r="AC15" s="14"/>
      <c r="AD15" s="28" t="s">
        <v>21</v>
      </c>
      <c r="AE15" s="29">
        <f>D63</f>
        <v>0</v>
      </c>
      <c r="AF15" s="14"/>
      <c r="AG15" s="1"/>
    </row>
    <row r="16">
      <c r="A16" s="1"/>
      <c r="B16" s="15" t="s">
        <v>6</v>
      </c>
      <c r="C16" s="49">
        <f t="shared" ref="C16:D16" si="2">C63</f>
        <v>0</v>
      </c>
      <c r="D16" s="50">
        <f t="shared" si="2"/>
        <v>0</v>
      </c>
      <c r="E16" s="1"/>
      <c r="F16" s="43"/>
      <c r="G16" s="51"/>
      <c r="H16" s="51"/>
      <c r="J16" s="51"/>
      <c r="K16" s="37"/>
      <c r="L16" s="1"/>
      <c r="M16" s="38"/>
      <c r="N16" s="1"/>
      <c r="O16" s="1"/>
      <c r="P16" s="39"/>
      <c r="Q16" s="1"/>
      <c r="R16" s="38"/>
      <c r="S16" s="1"/>
      <c r="T16" s="1"/>
      <c r="U16" s="1"/>
      <c r="V16" s="39"/>
      <c r="W16" s="1"/>
      <c r="X16" s="1"/>
      <c r="Y16" s="1"/>
      <c r="Z16" s="1"/>
      <c r="AA16" s="1"/>
      <c r="AB16" s="1"/>
      <c r="AC16" s="14"/>
      <c r="AD16" s="30"/>
      <c r="AE16" s="30"/>
      <c r="AF16" s="14"/>
      <c r="AG16" s="1"/>
    </row>
    <row r="17">
      <c r="A17" s="1"/>
      <c r="B17" s="15" t="s">
        <v>4</v>
      </c>
      <c r="C17" s="49">
        <f t="shared" ref="C17:D17" si="3">I63+N63</f>
        <v>0</v>
      </c>
      <c r="D17" s="50">
        <f t="shared" si="3"/>
        <v>0</v>
      </c>
      <c r="E17" s="1"/>
      <c r="F17" s="43"/>
      <c r="G17" s="36"/>
      <c r="H17" s="36"/>
      <c r="I17" s="36"/>
      <c r="J17" s="36"/>
      <c r="K17" s="37"/>
      <c r="L17" s="1"/>
      <c r="M17" s="38"/>
      <c r="N17" s="1"/>
      <c r="O17" s="1"/>
      <c r="P17" s="39"/>
      <c r="Q17" s="1"/>
      <c r="R17" s="38"/>
      <c r="S17" s="1"/>
      <c r="T17" s="1"/>
      <c r="U17" s="1"/>
      <c r="V17" s="39"/>
      <c r="W17" s="1"/>
      <c r="X17" s="1"/>
      <c r="Y17" s="1"/>
      <c r="Z17" s="1"/>
      <c r="AA17" s="1"/>
      <c r="AB17" s="1"/>
      <c r="AC17" s="14"/>
      <c r="AD17" s="30"/>
      <c r="AE17" s="30"/>
      <c r="AF17" s="14"/>
      <c r="AG17" s="1"/>
    </row>
    <row r="18">
      <c r="A18" s="1"/>
      <c r="B18" s="53" t="s">
        <v>22</v>
      </c>
      <c r="C18" s="54">
        <f t="shared" ref="C18:D18" si="4">U49</f>
        <v>0</v>
      </c>
      <c r="D18" s="55">
        <f t="shared" si="4"/>
        <v>0</v>
      </c>
      <c r="E18" s="1"/>
      <c r="F18" s="43"/>
      <c r="G18" s="36"/>
      <c r="H18" s="36"/>
      <c r="I18" s="36"/>
      <c r="J18" s="36"/>
      <c r="K18" s="37"/>
      <c r="L18" s="1"/>
      <c r="M18" s="38"/>
      <c r="N18" s="1"/>
      <c r="O18" s="1"/>
      <c r="P18" s="39"/>
      <c r="Q18" s="1"/>
      <c r="R18" s="38"/>
      <c r="S18" s="1"/>
      <c r="T18" s="1"/>
      <c r="U18" s="1"/>
      <c r="V18" s="39"/>
      <c r="W18" s="1"/>
      <c r="X18" s="1"/>
      <c r="Y18" s="1"/>
      <c r="Z18" s="1"/>
      <c r="AA18" s="1"/>
      <c r="AB18" s="1"/>
      <c r="AC18" s="14"/>
      <c r="AD18" s="14"/>
      <c r="AE18" s="14"/>
      <c r="AF18" s="14"/>
      <c r="AG18" s="1"/>
    </row>
    <row r="19">
      <c r="A19" s="1"/>
      <c r="B19" s="56" t="s">
        <v>23</v>
      </c>
      <c r="C19" s="57">
        <f>C14+C15-C16-C17-C18</f>
        <v>0</v>
      </c>
      <c r="D19" s="58">
        <f>D14+D15-D17-D18-D16</f>
        <v>0</v>
      </c>
      <c r="E19" s="1"/>
      <c r="F19" s="59"/>
      <c r="G19" s="60"/>
      <c r="H19" s="60"/>
      <c r="I19" s="60"/>
      <c r="J19" s="60"/>
      <c r="K19" s="61"/>
      <c r="L19" s="1"/>
      <c r="M19" s="62"/>
      <c r="N19" s="63"/>
      <c r="O19" s="63"/>
      <c r="P19" s="64"/>
      <c r="Q19" s="1"/>
      <c r="R19" s="62"/>
      <c r="S19" s="63"/>
      <c r="T19" s="63"/>
      <c r="U19" s="63"/>
      <c r="V19" s="64"/>
      <c r="W19" s="1"/>
      <c r="X19" s="1"/>
      <c r="Y19" s="1"/>
      <c r="Z19" s="1"/>
      <c r="AA19" s="1"/>
      <c r="AB19" s="1"/>
      <c r="AC19" s="30"/>
      <c r="AD19" s="30"/>
      <c r="AE19" s="30"/>
      <c r="AF19" s="30"/>
      <c r="AG19" s="1"/>
    </row>
    <row r="20">
      <c r="A20" s="1"/>
      <c r="B20" s="65"/>
      <c r="C20" s="66"/>
      <c r="D20" s="15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30"/>
      <c r="AD20" s="30"/>
      <c r="AE20" s="30"/>
      <c r="AF20" s="30"/>
      <c r="AG20" s="1"/>
    </row>
    <row r="21">
      <c r="A21" s="1"/>
      <c r="B21" s="67" t="s">
        <v>24</v>
      </c>
      <c r="C21" s="4"/>
      <c r="D21" s="5"/>
      <c r="E21" s="1"/>
      <c r="F21" s="68" t="s">
        <v>25</v>
      </c>
      <c r="G21" s="4"/>
      <c r="H21" s="4"/>
      <c r="I21" s="4"/>
      <c r="J21" s="4"/>
      <c r="K21" s="69"/>
      <c r="L21" s="1"/>
      <c r="M21" s="70" t="s">
        <v>26</v>
      </c>
      <c r="N21" s="4"/>
      <c r="O21" s="4"/>
      <c r="P21" s="5"/>
      <c r="Q21" s="1"/>
      <c r="R21" s="71" t="s">
        <v>22</v>
      </c>
      <c r="S21" s="4"/>
      <c r="T21" s="4"/>
      <c r="U21" s="4"/>
      <c r="V21" s="5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>
      <c r="A22" s="1"/>
      <c r="B22" s="12"/>
      <c r="D22" s="13"/>
      <c r="E22" s="1"/>
      <c r="F22" s="25"/>
      <c r="G22" s="26"/>
      <c r="H22" s="26"/>
      <c r="I22" s="26"/>
      <c r="J22" s="26"/>
      <c r="K22" s="72"/>
      <c r="L22" s="1"/>
      <c r="M22" s="12"/>
      <c r="P22" s="13"/>
      <c r="Q22" s="1"/>
      <c r="R22" s="12"/>
      <c r="V22" s="13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>
      <c r="A23" s="1"/>
      <c r="B23" s="73"/>
      <c r="C23" s="74" t="s">
        <v>27</v>
      </c>
      <c r="D23" s="75" t="s">
        <v>16</v>
      </c>
      <c r="E23" s="1"/>
      <c r="F23" s="76"/>
      <c r="G23" s="77"/>
      <c r="H23" s="77" t="s">
        <v>28</v>
      </c>
      <c r="I23" s="77" t="s">
        <v>15</v>
      </c>
      <c r="J23" s="77" t="s">
        <v>16</v>
      </c>
      <c r="K23" s="78" t="s">
        <v>23</v>
      </c>
      <c r="L23" s="1"/>
      <c r="M23" s="79"/>
      <c r="N23" s="80" t="s">
        <v>15</v>
      </c>
      <c r="O23" s="80" t="s">
        <v>16</v>
      </c>
      <c r="P23" s="81" t="s">
        <v>23</v>
      </c>
      <c r="Q23" s="1"/>
      <c r="R23" s="82"/>
      <c r="S23" s="83"/>
      <c r="T23" s="83" t="s">
        <v>28</v>
      </c>
      <c r="U23" s="83" t="s">
        <v>15</v>
      </c>
      <c r="V23" s="84" t="s">
        <v>16</v>
      </c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>
      <c r="A24" s="1"/>
      <c r="B24" s="44" t="s">
        <v>29</v>
      </c>
      <c r="C24" s="85"/>
      <c r="D24" s="86"/>
      <c r="E24" s="1"/>
      <c r="F24" s="44" t="b">
        <v>0</v>
      </c>
      <c r="G24" s="187"/>
      <c r="H24" s="88"/>
      <c r="I24" s="85"/>
      <c r="J24" s="85"/>
      <c r="K24" s="89" t="str">
        <f t="shared" ref="K24:K36" si="5">if(I24="",J24,(if(J24="","",I24-J24)))</f>
        <v/>
      </c>
      <c r="L24" s="1"/>
      <c r="M24" s="44"/>
      <c r="N24" s="85"/>
      <c r="O24" s="85"/>
      <c r="P24" s="46" t="str">
        <f t="shared" ref="P24:P62" si="6">if(N24="",O24,(if(O24="","",N24-O24)))</f>
        <v/>
      </c>
      <c r="Q24" s="1"/>
      <c r="R24" s="44" t="b">
        <v>0</v>
      </c>
      <c r="S24" s="90"/>
      <c r="T24" s="88"/>
      <c r="U24" s="85"/>
      <c r="V24" s="86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>
      <c r="A25" s="1"/>
      <c r="B25" s="15" t="s">
        <v>33</v>
      </c>
      <c r="C25" s="91"/>
      <c r="D25" s="92"/>
      <c r="E25" s="1"/>
      <c r="F25" s="15" t="b">
        <v>0</v>
      </c>
      <c r="G25" s="93"/>
      <c r="H25" s="94"/>
      <c r="I25" s="91"/>
      <c r="J25" s="91"/>
      <c r="K25" s="89" t="str">
        <f t="shared" si="5"/>
        <v/>
      </c>
      <c r="L25" s="1"/>
      <c r="M25" s="15"/>
      <c r="N25" s="91"/>
      <c r="O25" s="91"/>
      <c r="P25" s="46" t="str">
        <f t="shared" si="6"/>
        <v/>
      </c>
      <c r="Q25" s="1"/>
      <c r="R25" s="15" t="b">
        <v>0</v>
      </c>
      <c r="S25" s="21"/>
      <c r="T25" s="94"/>
      <c r="U25" s="91"/>
      <c r="V25" s="92"/>
      <c r="W25" s="1"/>
      <c r="X25" s="1"/>
      <c r="Z25" s="1"/>
      <c r="AA25" s="1"/>
      <c r="AB25" s="1"/>
      <c r="AC25" s="1"/>
      <c r="AD25" s="1"/>
      <c r="AE25" s="1"/>
      <c r="AF25" s="1"/>
      <c r="AG25" s="1"/>
    </row>
    <row r="26">
      <c r="A26" s="1"/>
      <c r="B26" s="15" t="s">
        <v>37</v>
      </c>
      <c r="C26" s="91"/>
      <c r="D26" s="92"/>
      <c r="E26" s="1"/>
      <c r="F26" s="15" t="b">
        <v>0</v>
      </c>
      <c r="G26" s="93"/>
      <c r="H26" s="94"/>
      <c r="I26" s="91"/>
      <c r="J26" s="91"/>
      <c r="K26" s="89" t="str">
        <f t="shared" si="5"/>
        <v/>
      </c>
      <c r="L26" s="1"/>
      <c r="M26" s="15"/>
      <c r="N26" s="91"/>
      <c r="O26" s="91"/>
      <c r="P26" s="46" t="str">
        <f t="shared" si="6"/>
        <v/>
      </c>
      <c r="Q26" s="1"/>
      <c r="R26" s="15" t="b">
        <v>0</v>
      </c>
      <c r="S26" s="21"/>
      <c r="T26" s="94"/>
      <c r="U26" s="91"/>
      <c r="V26" s="92"/>
      <c r="W26" s="1"/>
      <c r="X26" s="1"/>
      <c r="Z26" s="1"/>
      <c r="AA26" s="1"/>
      <c r="AB26" s="1"/>
      <c r="AC26" s="1"/>
      <c r="AD26" s="1"/>
      <c r="AE26" s="1"/>
      <c r="AF26" s="1"/>
      <c r="AG26" s="1"/>
    </row>
    <row r="27">
      <c r="A27" s="1"/>
      <c r="B27" s="15" t="s">
        <v>41</v>
      </c>
      <c r="C27" s="91"/>
      <c r="D27" s="92"/>
      <c r="E27" s="1"/>
      <c r="F27" s="15" t="b">
        <v>0</v>
      </c>
      <c r="G27" s="93"/>
      <c r="H27" s="94"/>
      <c r="I27" s="91"/>
      <c r="J27" s="95"/>
      <c r="K27" s="89" t="str">
        <f t="shared" si="5"/>
        <v/>
      </c>
      <c r="L27" s="1"/>
      <c r="M27" s="15"/>
      <c r="N27" s="91"/>
      <c r="O27" s="91"/>
      <c r="P27" s="46" t="str">
        <f t="shared" si="6"/>
        <v/>
      </c>
      <c r="Q27" s="1"/>
      <c r="R27" s="15" t="b">
        <v>0</v>
      </c>
      <c r="S27" s="21"/>
      <c r="T27" s="94"/>
      <c r="U27" s="91"/>
      <c r="V27" s="92"/>
      <c r="W27" s="1"/>
      <c r="X27" s="1"/>
      <c r="Z27" s="1"/>
      <c r="AA27" s="1"/>
      <c r="AB27" s="1"/>
      <c r="AC27" s="1"/>
      <c r="AD27" s="1"/>
      <c r="AE27" s="1"/>
      <c r="AF27" s="1"/>
      <c r="AG27" s="1"/>
    </row>
    <row r="28">
      <c r="A28" s="1"/>
      <c r="B28" s="53" t="s">
        <v>45</v>
      </c>
      <c r="C28" s="96"/>
      <c r="D28" s="97"/>
      <c r="E28" s="1"/>
      <c r="F28" s="15" t="b">
        <v>0</v>
      </c>
      <c r="G28" s="93"/>
      <c r="H28" s="94"/>
      <c r="I28" s="91"/>
      <c r="J28" s="91"/>
      <c r="K28" s="89" t="str">
        <f t="shared" si="5"/>
        <v/>
      </c>
      <c r="L28" s="1"/>
      <c r="M28" s="15"/>
      <c r="N28" s="91"/>
      <c r="O28" s="91"/>
      <c r="P28" s="46" t="str">
        <f t="shared" si="6"/>
        <v/>
      </c>
      <c r="Q28" s="1"/>
      <c r="R28" s="98" t="b">
        <v>0</v>
      </c>
      <c r="S28" s="90"/>
      <c r="T28" s="94"/>
      <c r="U28" s="99"/>
      <c r="V28" s="92"/>
      <c r="W28" s="1"/>
      <c r="X28" s="1"/>
      <c r="Z28" s="1"/>
      <c r="AA28" s="1"/>
      <c r="AB28" s="1"/>
      <c r="AC28" s="1"/>
      <c r="AD28" s="1"/>
      <c r="AE28" s="1"/>
      <c r="AF28" s="1"/>
      <c r="AG28" s="1"/>
    </row>
    <row r="29">
      <c r="A29" s="1"/>
      <c r="B29" s="100" t="s">
        <v>48</v>
      </c>
      <c r="C29" s="101">
        <f t="shared" ref="C29:D29" si="7">sum(C24:C28)</f>
        <v>0</v>
      </c>
      <c r="D29" s="102">
        <f t="shared" si="7"/>
        <v>0</v>
      </c>
      <c r="E29" s="1"/>
      <c r="F29" s="15" t="b">
        <v>0</v>
      </c>
      <c r="G29" s="93"/>
      <c r="H29" s="94"/>
      <c r="I29" s="91"/>
      <c r="J29" s="91"/>
      <c r="K29" s="89" t="str">
        <f t="shared" si="5"/>
        <v/>
      </c>
      <c r="L29" s="1"/>
      <c r="M29" s="15"/>
      <c r="N29" s="91"/>
      <c r="O29" s="91"/>
      <c r="P29" s="46" t="str">
        <f t="shared" si="6"/>
        <v/>
      </c>
      <c r="Q29" s="1"/>
      <c r="R29" s="98" t="b">
        <v>0</v>
      </c>
      <c r="S29" s="90"/>
      <c r="T29" s="103"/>
      <c r="U29" s="99"/>
      <c r="V29" s="104"/>
      <c r="W29" s="1"/>
      <c r="X29" s="1"/>
      <c r="Y29" s="1"/>
      <c r="Z29" s="1"/>
      <c r="AA29" s="105"/>
      <c r="AB29" s="1"/>
      <c r="AC29" s="1"/>
      <c r="AD29" s="1"/>
      <c r="AE29" s="1"/>
      <c r="AF29" s="1"/>
      <c r="AG29" s="1"/>
    </row>
    <row r="30">
      <c r="A30" s="1"/>
      <c r="B30" s="1"/>
      <c r="C30" s="1"/>
      <c r="D30" s="1"/>
      <c r="E30" s="1"/>
      <c r="F30" s="15" t="b">
        <v>0</v>
      </c>
      <c r="G30" s="93"/>
      <c r="H30" s="94"/>
      <c r="I30" s="91"/>
      <c r="J30" s="91"/>
      <c r="K30" s="89" t="str">
        <f t="shared" si="5"/>
        <v/>
      </c>
      <c r="L30" s="1"/>
      <c r="M30" s="15"/>
      <c r="N30" s="91"/>
      <c r="O30" s="91"/>
      <c r="P30" s="46" t="str">
        <f t="shared" si="6"/>
        <v/>
      </c>
      <c r="Q30" s="1"/>
      <c r="R30" s="98" t="b">
        <v>0</v>
      </c>
      <c r="S30" s="90"/>
      <c r="T30" s="103"/>
      <c r="U30" s="99"/>
      <c r="V30" s="104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>
      <c r="A31" s="1"/>
      <c r="B31" s="106" t="s">
        <v>53</v>
      </c>
      <c r="C31" s="4"/>
      <c r="D31" s="5"/>
      <c r="E31" s="1"/>
      <c r="F31" s="15" t="b">
        <v>0</v>
      </c>
      <c r="G31" s="93"/>
      <c r="H31" s="94"/>
      <c r="I31" s="91"/>
      <c r="J31" s="91"/>
      <c r="K31" s="89" t="str">
        <f t="shared" si="5"/>
        <v/>
      </c>
      <c r="L31" s="1"/>
      <c r="M31" s="15"/>
      <c r="N31" s="91"/>
      <c r="O31" s="91"/>
      <c r="P31" s="46" t="str">
        <f t="shared" si="6"/>
        <v/>
      </c>
      <c r="Q31" s="1"/>
      <c r="R31" s="98" t="b">
        <v>0</v>
      </c>
      <c r="S31" s="90"/>
      <c r="T31" s="103"/>
      <c r="U31" s="99"/>
      <c r="V31" s="104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>
      <c r="A32" s="1"/>
      <c r="B32" s="12"/>
      <c r="D32" s="13"/>
      <c r="E32" s="1"/>
      <c r="F32" s="15" t="b">
        <v>0</v>
      </c>
      <c r="G32" s="93"/>
      <c r="H32" s="94"/>
      <c r="I32" s="91"/>
      <c r="J32" s="91"/>
      <c r="K32" s="89" t="str">
        <f t="shared" si="5"/>
        <v/>
      </c>
      <c r="L32" s="1"/>
      <c r="M32" s="15"/>
      <c r="N32" s="107"/>
      <c r="O32" s="91"/>
      <c r="P32" s="46" t="str">
        <f t="shared" si="6"/>
        <v/>
      </c>
      <c r="Q32" s="1"/>
      <c r="R32" s="98" t="b">
        <v>0</v>
      </c>
      <c r="S32" s="90"/>
      <c r="T32" s="103"/>
      <c r="U32" s="99"/>
      <c r="V32" s="104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>
      <c r="A33" s="1"/>
      <c r="B33" s="108"/>
      <c r="C33" s="109" t="s">
        <v>27</v>
      </c>
      <c r="D33" s="110" t="s">
        <v>16</v>
      </c>
      <c r="E33" s="1"/>
      <c r="F33" s="15" t="b">
        <v>0</v>
      </c>
      <c r="G33" s="93"/>
      <c r="H33" s="94"/>
      <c r="I33" s="91"/>
      <c r="J33" s="91"/>
      <c r="K33" s="89" t="str">
        <f t="shared" si="5"/>
        <v/>
      </c>
      <c r="L33" s="1"/>
      <c r="M33" s="15"/>
      <c r="N33" s="91"/>
      <c r="O33" s="91"/>
      <c r="P33" s="46" t="str">
        <f t="shared" si="6"/>
        <v/>
      </c>
      <c r="Q33" s="1"/>
      <c r="R33" s="98" t="b">
        <v>0</v>
      </c>
      <c r="S33" s="90"/>
      <c r="T33" s="103"/>
      <c r="U33" s="99"/>
      <c r="V33" s="104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>
      <c r="A34" s="1"/>
      <c r="B34" s="15" t="s">
        <v>59</v>
      </c>
      <c r="C34" s="91"/>
      <c r="D34" s="92"/>
      <c r="E34" s="1"/>
      <c r="F34" s="15" t="b">
        <v>0</v>
      </c>
      <c r="G34" s="111"/>
      <c r="H34" s="94"/>
      <c r="I34" s="91"/>
      <c r="J34" s="91"/>
      <c r="K34" s="89" t="str">
        <f t="shared" si="5"/>
        <v/>
      </c>
      <c r="L34" s="1"/>
      <c r="M34" s="15"/>
      <c r="N34" s="91"/>
      <c r="O34" s="91"/>
      <c r="P34" s="46" t="str">
        <f t="shared" si="6"/>
        <v/>
      </c>
      <c r="Q34" s="1"/>
      <c r="R34" s="98" t="b">
        <v>0</v>
      </c>
      <c r="S34" s="90"/>
      <c r="T34" s="103"/>
      <c r="U34" s="99"/>
      <c r="V34" s="104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>
      <c r="A35" s="1"/>
      <c r="B35" s="15" t="s">
        <v>62</v>
      </c>
      <c r="C35" s="91"/>
      <c r="D35" s="92"/>
      <c r="E35" s="1"/>
      <c r="F35" s="15" t="b">
        <v>0</v>
      </c>
      <c r="G35" s="93"/>
      <c r="H35" s="94"/>
      <c r="I35" s="91"/>
      <c r="J35" s="91"/>
      <c r="K35" s="89" t="str">
        <f t="shared" si="5"/>
        <v/>
      </c>
      <c r="L35" s="1"/>
      <c r="M35" s="15"/>
      <c r="N35" s="91"/>
      <c r="O35" s="91"/>
      <c r="P35" s="46" t="str">
        <f t="shared" si="6"/>
        <v/>
      </c>
      <c r="Q35" s="1"/>
      <c r="R35" s="98" t="b">
        <v>0</v>
      </c>
      <c r="S35" s="90"/>
      <c r="T35" s="103"/>
      <c r="U35" s="99"/>
      <c r="V35" s="104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>
      <c r="A36" s="1"/>
      <c r="B36" s="15" t="s">
        <v>64</v>
      </c>
      <c r="C36" s="91"/>
      <c r="D36" s="92"/>
      <c r="E36" s="1"/>
      <c r="F36" s="15" t="b">
        <v>0</v>
      </c>
      <c r="G36" s="93"/>
      <c r="H36" s="94"/>
      <c r="I36" s="91"/>
      <c r="J36" s="91"/>
      <c r="K36" s="89" t="str">
        <f t="shared" si="5"/>
        <v/>
      </c>
      <c r="L36" s="1"/>
      <c r="M36" s="15"/>
      <c r="N36" s="91"/>
      <c r="O36" s="91"/>
      <c r="P36" s="46" t="str">
        <f t="shared" si="6"/>
        <v/>
      </c>
      <c r="Q36" s="1"/>
      <c r="R36" s="98" t="b">
        <v>0</v>
      </c>
      <c r="S36" s="90"/>
      <c r="T36" s="103"/>
      <c r="U36" s="99"/>
      <c r="V36" s="104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>
      <c r="A37" s="1"/>
      <c r="B37" s="15" t="s">
        <v>66</v>
      </c>
      <c r="C37" s="91"/>
      <c r="D37" s="92"/>
      <c r="E37" s="1"/>
      <c r="F37" s="98" t="b">
        <v>0</v>
      </c>
      <c r="G37" s="112"/>
      <c r="H37" s="103"/>
      <c r="I37" s="91"/>
      <c r="J37" s="91"/>
      <c r="K37" s="89"/>
      <c r="L37" s="1"/>
      <c r="M37" s="98"/>
      <c r="N37" s="99"/>
      <c r="O37" s="99"/>
      <c r="P37" s="46" t="str">
        <f t="shared" si="6"/>
        <v/>
      </c>
      <c r="Q37" s="1"/>
      <c r="R37" s="98" t="b">
        <v>0</v>
      </c>
      <c r="S37" s="90"/>
      <c r="T37" s="103"/>
      <c r="U37" s="99"/>
      <c r="V37" s="104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>
      <c r="A38" s="1"/>
      <c r="B38" s="15" t="s">
        <v>67</v>
      </c>
      <c r="C38" s="91"/>
      <c r="D38" s="92"/>
      <c r="E38" s="1"/>
      <c r="F38" s="98" t="b">
        <v>0</v>
      </c>
      <c r="G38" s="112"/>
      <c r="H38" s="103"/>
      <c r="I38" s="99"/>
      <c r="J38" s="91"/>
      <c r="K38" s="89" t="str">
        <f t="shared" ref="K38:K62" si="8">if(I38="",J38,(if(J38="","",I38-J38)))</f>
        <v/>
      </c>
      <c r="L38" s="1"/>
      <c r="M38" s="98"/>
      <c r="N38" s="91"/>
      <c r="O38" s="91"/>
      <c r="P38" s="46" t="str">
        <f t="shared" si="6"/>
        <v/>
      </c>
      <c r="Q38" s="1"/>
      <c r="R38" s="98" t="b">
        <v>0</v>
      </c>
      <c r="S38" s="90"/>
      <c r="T38" s="103"/>
      <c r="U38" s="99"/>
      <c r="V38" s="104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>
      <c r="A39" s="1"/>
      <c r="B39" s="113" t="s">
        <v>48</v>
      </c>
      <c r="C39" s="114">
        <f>SUM(C34:C38)</f>
        <v>0</v>
      </c>
      <c r="D39" s="115">
        <f>sum(D34:D38)</f>
        <v>0</v>
      </c>
      <c r="E39" s="1"/>
      <c r="F39" s="98" t="b">
        <v>0</v>
      </c>
      <c r="G39" s="112"/>
      <c r="H39" s="103"/>
      <c r="I39" s="99"/>
      <c r="J39" s="91"/>
      <c r="K39" s="89" t="str">
        <f t="shared" si="8"/>
        <v/>
      </c>
      <c r="L39" s="1"/>
      <c r="M39" s="98"/>
      <c r="N39" s="91"/>
      <c r="O39" s="91"/>
      <c r="P39" s="46" t="str">
        <f t="shared" si="6"/>
        <v/>
      </c>
      <c r="Q39" s="1"/>
      <c r="R39" s="98" t="b">
        <v>0</v>
      </c>
      <c r="S39" s="90"/>
      <c r="T39" s="103"/>
      <c r="U39" s="99"/>
      <c r="V39" s="104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>
      <c r="A40" s="1"/>
      <c r="B40" s="116"/>
      <c r="C40" s="116"/>
      <c r="D40" s="116"/>
      <c r="E40" s="1"/>
      <c r="F40" s="98" t="b">
        <v>0</v>
      </c>
      <c r="G40" s="112"/>
      <c r="H40" s="103"/>
      <c r="I40" s="99"/>
      <c r="J40" s="91"/>
      <c r="K40" s="89" t="str">
        <f t="shared" si="8"/>
        <v/>
      </c>
      <c r="L40" s="1"/>
      <c r="M40" s="98"/>
      <c r="N40" s="99"/>
      <c r="O40" s="99"/>
      <c r="P40" s="46" t="str">
        <f t="shared" si="6"/>
        <v/>
      </c>
      <c r="Q40" s="1"/>
      <c r="R40" s="98" t="b">
        <v>0</v>
      </c>
      <c r="S40" s="90"/>
      <c r="T40" s="103"/>
      <c r="U40" s="99"/>
      <c r="V40" s="104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>
      <c r="A41" s="1"/>
      <c r="B41" s="117" t="s">
        <v>68</v>
      </c>
      <c r="C41" s="4"/>
      <c r="D41" s="5"/>
      <c r="E41" s="1"/>
      <c r="F41" s="98" t="b">
        <v>0</v>
      </c>
      <c r="G41" s="112"/>
      <c r="H41" s="103"/>
      <c r="I41" s="99"/>
      <c r="J41" s="91"/>
      <c r="K41" s="89" t="str">
        <f t="shared" si="8"/>
        <v/>
      </c>
      <c r="L41" s="1"/>
      <c r="M41" s="98"/>
      <c r="N41" s="99"/>
      <c r="O41" s="99"/>
      <c r="P41" s="46" t="str">
        <f t="shared" si="6"/>
        <v/>
      </c>
      <c r="Q41" s="1"/>
      <c r="R41" s="98" t="b">
        <v>0</v>
      </c>
      <c r="S41" s="90"/>
      <c r="T41" s="103"/>
      <c r="U41" s="99"/>
      <c r="V41" s="104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>
      <c r="A42" s="1"/>
      <c r="B42" s="12"/>
      <c r="D42" s="13"/>
      <c r="E42" s="1"/>
      <c r="F42" s="98" t="b">
        <v>0</v>
      </c>
      <c r="G42" s="112"/>
      <c r="H42" s="103"/>
      <c r="I42" s="99"/>
      <c r="J42" s="99"/>
      <c r="K42" s="89" t="str">
        <f t="shared" si="8"/>
        <v/>
      </c>
      <c r="L42" s="1"/>
      <c r="M42" s="98"/>
      <c r="N42" s="91"/>
      <c r="O42" s="91"/>
      <c r="P42" s="46" t="str">
        <f t="shared" si="6"/>
        <v/>
      </c>
      <c r="Q42" s="1"/>
      <c r="R42" s="98" t="b">
        <v>0</v>
      </c>
      <c r="S42" s="90"/>
      <c r="T42" s="103"/>
      <c r="U42" s="99"/>
      <c r="V42" s="104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>
      <c r="A43" s="1"/>
      <c r="B43" s="118"/>
      <c r="C43" s="119" t="s">
        <v>15</v>
      </c>
      <c r="D43" s="120" t="s">
        <v>16</v>
      </c>
      <c r="E43" s="1"/>
      <c r="F43" s="98" t="b">
        <v>0</v>
      </c>
      <c r="G43" s="112"/>
      <c r="H43" s="103"/>
      <c r="I43" s="99"/>
      <c r="J43" s="91"/>
      <c r="K43" s="89" t="str">
        <f t="shared" si="8"/>
        <v/>
      </c>
      <c r="L43" s="1"/>
      <c r="M43" s="98"/>
      <c r="N43" s="91"/>
      <c r="O43" s="91"/>
      <c r="P43" s="46" t="str">
        <f t="shared" si="6"/>
        <v/>
      </c>
      <c r="Q43" s="1"/>
      <c r="R43" s="98" t="b">
        <v>0</v>
      </c>
      <c r="S43" s="90"/>
      <c r="T43" s="103"/>
      <c r="U43" s="99"/>
      <c r="V43" s="104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>
      <c r="A44" s="1"/>
      <c r="B44" s="44" t="s">
        <v>57</v>
      </c>
      <c r="C44" s="85"/>
      <c r="D44" s="86"/>
      <c r="E44" s="1"/>
      <c r="F44" s="98" t="b">
        <v>0</v>
      </c>
      <c r="G44" s="112"/>
      <c r="H44" s="103"/>
      <c r="I44" s="99"/>
      <c r="J44" s="91"/>
      <c r="K44" s="89" t="str">
        <f t="shared" si="8"/>
        <v/>
      </c>
      <c r="L44" s="1"/>
      <c r="M44" s="98"/>
      <c r="N44" s="99"/>
      <c r="O44" s="91"/>
      <c r="P44" s="46" t="str">
        <f t="shared" si="6"/>
        <v/>
      </c>
      <c r="Q44" s="1"/>
      <c r="R44" s="98" t="b">
        <v>0</v>
      </c>
      <c r="S44" s="90"/>
      <c r="T44" s="103"/>
      <c r="U44" s="99"/>
      <c r="V44" s="104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>
      <c r="A45" s="1"/>
      <c r="B45" s="15" t="s">
        <v>69</v>
      </c>
      <c r="C45" s="91"/>
      <c r="D45" s="92"/>
      <c r="E45" s="1"/>
      <c r="F45" s="98" t="b">
        <v>0</v>
      </c>
      <c r="G45" s="112"/>
      <c r="H45" s="103"/>
      <c r="I45" s="99"/>
      <c r="J45" s="99"/>
      <c r="K45" s="89" t="str">
        <f t="shared" si="8"/>
        <v/>
      </c>
      <c r="L45" s="1"/>
      <c r="M45" s="98"/>
      <c r="N45" s="99"/>
      <c r="O45" s="91"/>
      <c r="P45" s="46" t="str">
        <f t="shared" si="6"/>
        <v/>
      </c>
      <c r="Q45" s="1"/>
      <c r="R45" s="98" t="b">
        <v>0</v>
      </c>
      <c r="S45" s="90"/>
      <c r="T45" s="103"/>
      <c r="U45" s="99"/>
      <c r="V45" s="104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>
      <c r="A46" s="1"/>
      <c r="B46" s="15" t="s">
        <v>70</v>
      </c>
      <c r="C46" s="91"/>
      <c r="D46" s="92"/>
      <c r="E46" s="1"/>
      <c r="F46" s="98" t="b">
        <v>0</v>
      </c>
      <c r="G46" s="112"/>
      <c r="H46" s="103"/>
      <c r="I46" s="91"/>
      <c r="J46" s="91"/>
      <c r="K46" s="89" t="str">
        <f t="shared" si="8"/>
        <v/>
      </c>
      <c r="L46" s="1"/>
      <c r="M46" s="98"/>
      <c r="N46" s="99"/>
      <c r="O46" s="91"/>
      <c r="P46" s="46" t="str">
        <f t="shared" si="6"/>
        <v/>
      </c>
      <c r="Q46" s="1"/>
      <c r="R46" s="98" t="b">
        <v>0</v>
      </c>
      <c r="S46" s="90"/>
      <c r="T46" s="103"/>
      <c r="U46" s="99"/>
      <c r="V46" s="10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>
      <c r="A47" s="1"/>
      <c r="B47" s="15" t="s">
        <v>71</v>
      </c>
      <c r="C47" s="91"/>
      <c r="D47" s="92"/>
      <c r="E47" s="1"/>
      <c r="F47" s="15" t="b">
        <v>0</v>
      </c>
      <c r="G47" s="112"/>
      <c r="H47" s="103"/>
      <c r="I47" s="91"/>
      <c r="J47" s="91"/>
      <c r="K47" s="89" t="str">
        <f t="shared" si="8"/>
        <v/>
      </c>
      <c r="L47" s="1"/>
      <c r="M47" s="98"/>
      <c r="N47" s="99"/>
      <c r="O47" s="99"/>
      <c r="P47" s="46" t="str">
        <f t="shared" si="6"/>
        <v/>
      </c>
      <c r="Q47" s="1"/>
      <c r="R47" s="98" t="b">
        <v>0</v>
      </c>
      <c r="S47" s="90"/>
      <c r="T47" s="103"/>
      <c r="U47" s="99"/>
      <c r="V47" s="104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>
      <c r="A48" s="1"/>
      <c r="B48" s="15" t="s">
        <v>72</v>
      </c>
      <c r="C48" s="91"/>
      <c r="D48" s="92"/>
      <c r="E48" s="1"/>
      <c r="F48" s="15" t="b">
        <v>0</v>
      </c>
      <c r="G48" s="112"/>
      <c r="H48" s="103"/>
      <c r="I48" s="91"/>
      <c r="J48" s="91"/>
      <c r="K48" s="89" t="str">
        <f t="shared" si="8"/>
        <v/>
      </c>
      <c r="L48" s="1"/>
      <c r="M48" s="98"/>
      <c r="N48" s="99"/>
      <c r="O48" s="99"/>
      <c r="P48" s="46" t="str">
        <f t="shared" si="6"/>
        <v/>
      </c>
      <c r="Q48" s="1"/>
      <c r="R48" s="121" t="b">
        <v>0</v>
      </c>
      <c r="S48" s="122"/>
      <c r="T48" s="123"/>
      <c r="U48" s="124"/>
      <c r="V48" s="125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>
      <c r="A49" s="1"/>
      <c r="B49" s="15"/>
      <c r="C49" s="91"/>
      <c r="D49" s="92"/>
      <c r="E49" s="1"/>
      <c r="F49" s="15" t="b">
        <v>0</v>
      </c>
      <c r="G49" s="112"/>
      <c r="H49" s="103"/>
      <c r="I49" s="91"/>
      <c r="J49" s="91"/>
      <c r="K49" s="89" t="str">
        <f t="shared" si="8"/>
        <v/>
      </c>
      <c r="L49" s="1"/>
      <c r="M49" s="98"/>
      <c r="N49" s="99"/>
      <c r="O49" s="99"/>
      <c r="P49" s="46" t="str">
        <f t="shared" si="6"/>
        <v/>
      </c>
      <c r="Q49" s="1"/>
      <c r="R49" s="126"/>
      <c r="S49" s="127" t="s">
        <v>48</v>
      </c>
      <c r="T49" s="127"/>
      <c r="U49" s="128">
        <f>sum(U24:U48)</f>
        <v>0</v>
      </c>
      <c r="V49" s="129">
        <f>SUM(V24:V48)</f>
        <v>0</v>
      </c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>
      <c r="A50" s="1"/>
      <c r="B50" s="15"/>
      <c r="C50" s="91"/>
      <c r="D50" s="92"/>
      <c r="E50" s="1"/>
      <c r="F50" s="15" t="b">
        <v>0</v>
      </c>
      <c r="G50" s="112"/>
      <c r="H50" s="103"/>
      <c r="I50" s="91"/>
      <c r="J50" s="91"/>
      <c r="K50" s="89" t="str">
        <f t="shared" si="8"/>
        <v/>
      </c>
      <c r="M50" s="98"/>
      <c r="N50" s="99"/>
      <c r="O50" s="99"/>
      <c r="P50" s="46" t="str">
        <f t="shared" si="6"/>
        <v/>
      </c>
      <c r="R50" s="33"/>
      <c r="S50" s="33"/>
      <c r="T50" s="33"/>
      <c r="U50" s="33"/>
      <c r="V50" s="33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>
      <c r="A51" s="1"/>
      <c r="B51" s="15"/>
      <c r="C51" s="91"/>
      <c r="D51" s="92"/>
      <c r="E51" s="1"/>
      <c r="F51" s="15" t="b">
        <v>0</v>
      </c>
      <c r="G51" s="112"/>
      <c r="H51" s="103"/>
      <c r="I51" s="91"/>
      <c r="J51" s="91"/>
      <c r="K51" s="89" t="str">
        <f t="shared" si="8"/>
        <v/>
      </c>
      <c r="M51" s="98"/>
      <c r="N51" s="99"/>
      <c r="O51" s="99"/>
      <c r="P51" s="46" t="str">
        <f t="shared" si="6"/>
        <v/>
      </c>
      <c r="R51" s="130" t="s">
        <v>73</v>
      </c>
      <c r="S51" s="4"/>
      <c r="T51" s="4"/>
      <c r="U51" s="4"/>
      <c r="V51" s="5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>
      <c r="A52" s="1"/>
      <c r="B52" s="15"/>
      <c r="C52" s="91"/>
      <c r="D52" s="92"/>
      <c r="E52" s="1"/>
      <c r="F52" s="15" t="b">
        <v>0</v>
      </c>
      <c r="G52" s="112"/>
      <c r="H52" s="103"/>
      <c r="I52" s="91"/>
      <c r="J52" s="91"/>
      <c r="K52" s="89" t="str">
        <f t="shared" si="8"/>
        <v/>
      </c>
      <c r="M52" s="98"/>
      <c r="N52" s="99"/>
      <c r="O52" s="99"/>
      <c r="P52" s="46" t="str">
        <f t="shared" si="6"/>
        <v/>
      </c>
      <c r="R52" s="12"/>
      <c r="V52" s="13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>
      <c r="A53" s="1"/>
      <c r="B53" s="15"/>
      <c r="C53" s="91"/>
      <c r="D53" s="92"/>
      <c r="E53" s="1"/>
      <c r="F53" s="15" t="b">
        <v>0</v>
      </c>
      <c r="G53" s="112"/>
      <c r="H53" s="103"/>
      <c r="I53" s="91"/>
      <c r="J53" s="91"/>
      <c r="K53" s="89" t="str">
        <f t="shared" si="8"/>
        <v/>
      </c>
      <c r="M53" s="98"/>
      <c r="N53" s="99"/>
      <c r="O53" s="99"/>
      <c r="P53" s="46" t="str">
        <f t="shared" si="6"/>
        <v/>
      </c>
      <c r="R53" s="131"/>
      <c r="S53" s="10"/>
      <c r="T53" s="10"/>
      <c r="U53" s="10"/>
      <c r="V53" s="1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>
      <c r="A54" s="1"/>
      <c r="B54" s="15"/>
      <c r="C54" s="91"/>
      <c r="D54" s="92"/>
      <c r="E54" s="1"/>
      <c r="F54" s="15" t="b">
        <v>0</v>
      </c>
      <c r="G54" s="112"/>
      <c r="H54" s="103"/>
      <c r="I54" s="91"/>
      <c r="J54" s="91"/>
      <c r="K54" s="89" t="str">
        <f t="shared" si="8"/>
        <v/>
      </c>
      <c r="M54" s="98"/>
      <c r="N54" s="99"/>
      <c r="O54" s="99"/>
      <c r="P54" s="46" t="str">
        <f t="shared" si="6"/>
        <v/>
      </c>
      <c r="R54" s="132"/>
      <c r="S54" s="133"/>
      <c r="T54" s="133"/>
      <c r="U54" s="133"/>
      <c r="V54" s="17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>
      <c r="A55" s="1"/>
      <c r="B55" s="15"/>
      <c r="C55" s="91"/>
      <c r="D55" s="92"/>
      <c r="E55" s="1"/>
      <c r="F55" s="15" t="b">
        <v>0</v>
      </c>
      <c r="G55" s="112"/>
      <c r="H55" s="103"/>
      <c r="I55" s="91"/>
      <c r="J55" s="91"/>
      <c r="K55" s="89" t="str">
        <f t="shared" si="8"/>
        <v/>
      </c>
      <c r="M55" s="98"/>
      <c r="N55" s="99"/>
      <c r="O55" s="99"/>
      <c r="P55" s="46" t="str">
        <f t="shared" si="6"/>
        <v/>
      </c>
      <c r="R55" s="132"/>
      <c r="S55" s="133"/>
      <c r="T55" s="133"/>
      <c r="U55" s="133"/>
      <c r="V55" s="17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>
      <c r="A56" s="1"/>
      <c r="B56" s="15"/>
      <c r="C56" s="91"/>
      <c r="D56" s="92"/>
      <c r="E56" s="1"/>
      <c r="F56" s="15" t="b">
        <v>0</v>
      </c>
      <c r="G56" s="112"/>
      <c r="H56" s="103"/>
      <c r="I56" s="91"/>
      <c r="J56" s="91"/>
      <c r="K56" s="89" t="str">
        <f t="shared" si="8"/>
        <v/>
      </c>
      <c r="M56" s="98"/>
      <c r="N56" s="99"/>
      <c r="O56" s="99"/>
      <c r="P56" s="46" t="str">
        <f t="shared" si="6"/>
        <v/>
      </c>
      <c r="R56" s="134"/>
      <c r="S56" s="133"/>
      <c r="T56" s="133"/>
      <c r="U56" s="133"/>
      <c r="V56" s="17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>
      <c r="A57" s="1"/>
      <c r="B57" s="15"/>
      <c r="C57" s="91"/>
      <c r="D57" s="92"/>
      <c r="E57" s="1"/>
      <c r="F57" s="15" t="b">
        <v>0</v>
      </c>
      <c r="G57" s="112"/>
      <c r="H57" s="103"/>
      <c r="I57" s="91"/>
      <c r="J57" s="91"/>
      <c r="K57" s="89" t="str">
        <f t="shared" si="8"/>
        <v/>
      </c>
      <c r="M57" s="98"/>
      <c r="N57" s="99"/>
      <c r="O57" s="99"/>
      <c r="P57" s="46" t="str">
        <f t="shared" si="6"/>
        <v/>
      </c>
      <c r="R57" s="134"/>
      <c r="S57" s="133"/>
      <c r="T57" s="133"/>
      <c r="U57" s="133"/>
      <c r="V57" s="17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>
      <c r="A58" s="1"/>
      <c r="B58" s="15"/>
      <c r="C58" s="91"/>
      <c r="D58" s="92"/>
      <c r="E58" s="1"/>
      <c r="F58" s="15" t="b">
        <v>0</v>
      </c>
      <c r="G58" s="112"/>
      <c r="H58" s="103"/>
      <c r="I58" s="91"/>
      <c r="J58" s="91"/>
      <c r="K58" s="89" t="str">
        <f t="shared" si="8"/>
        <v/>
      </c>
      <c r="M58" s="98"/>
      <c r="N58" s="99"/>
      <c r="O58" s="99"/>
      <c r="P58" s="46" t="str">
        <f t="shared" si="6"/>
        <v/>
      </c>
      <c r="R58" s="134"/>
      <c r="S58" s="133"/>
      <c r="T58" s="133"/>
      <c r="U58" s="133"/>
      <c r="V58" s="17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>
      <c r="A59" s="1"/>
      <c r="B59" s="15"/>
      <c r="C59" s="91"/>
      <c r="D59" s="92"/>
      <c r="E59" s="1"/>
      <c r="F59" s="15" t="b">
        <v>0</v>
      </c>
      <c r="G59" s="112"/>
      <c r="H59" s="103"/>
      <c r="I59" s="91"/>
      <c r="J59" s="91"/>
      <c r="K59" s="89" t="str">
        <f t="shared" si="8"/>
        <v/>
      </c>
      <c r="M59" s="98"/>
      <c r="N59" s="99"/>
      <c r="O59" s="99"/>
      <c r="P59" s="46" t="str">
        <f t="shared" si="6"/>
        <v/>
      </c>
      <c r="R59" s="134"/>
      <c r="S59" s="133"/>
      <c r="T59" s="133"/>
      <c r="U59" s="133"/>
      <c r="V59" s="17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>
      <c r="A60" s="1"/>
      <c r="B60" s="15"/>
      <c r="C60" s="91"/>
      <c r="D60" s="92"/>
      <c r="E60" s="1"/>
      <c r="F60" s="15" t="b">
        <v>0</v>
      </c>
      <c r="G60" s="112"/>
      <c r="H60" s="103"/>
      <c r="I60" s="91"/>
      <c r="J60" s="91"/>
      <c r="K60" s="89" t="str">
        <f t="shared" si="8"/>
        <v/>
      </c>
      <c r="M60" s="98"/>
      <c r="N60" s="99"/>
      <c r="O60" s="99"/>
      <c r="P60" s="46" t="str">
        <f t="shared" si="6"/>
        <v/>
      </c>
      <c r="R60" s="134"/>
      <c r="S60" s="133"/>
      <c r="T60" s="133"/>
      <c r="U60" s="133"/>
      <c r="V60" s="17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>
      <c r="A61" s="1"/>
      <c r="B61" s="15"/>
      <c r="C61" s="91"/>
      <c r="D61" s="92"/>
      <c r="E61" s="1"/>
      <c r="F61" s="15" t="b">
        <v>0</v>
      </c>
      <c r="G61" s="112"/>
      <c r="H61" s="103"/>
      <c r="I61" s="91"/>
      <c r="J61" s="91"/>
      <c r="K61" s="89" t="str">
        <f t="shared" si="8"/>
        <v/>
      </c>
      <c r="M61" s="98"/>
      <c r="N61" s="99"/>
      <c r="O61" s="99"/>
      <c r="P61" s="46" t="str">
        <f t="shared" si="6"/>
        <v/>
      </c>
      <c r="R61" s="134"/>
      <c r="S61" s="133"/>
      <c r="T61" s="133"/>
      <c r="U61" s="133"/>
      <c r="V61" s="17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>
      <c r="A62" s="1"/>
      <c r="B62" s="15"/>
      <c r="C62" s="91"/>
      <c r="D62" s="92"/>
      <c r="E62" s="1"/>
      <c r="F62" s="15" t="b">
        <v>0</v>
      </c>
      <c r="G62" s="112"/>
      <c r="H62" s="103"/>
      <c r="I62" s="91"/>
      <c r="J62" s="91"/>
      <c r="K62" s="89" t="str">
        <f t="shared" si="8"/>
        <v/>
      </c>
      <c r="M62" s="98"/>
      <c r="N62" s="99"/>
      <c r="O62" s="99"/>
      <c r="P62" s="46" t="str">
        <f t="shared" si="6"/>
        <v/>
      </c>
      <c r="R62" s="134"/>
      <c r="S62" s="133"/>
      <c r="T62" s="133"/>
      <c r="U62" s="133"/>
      <c r="V62" s="17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>
      <c r="A63" s="1"/>
      <c r="B63" s="135" t="s">
        <v>48</v>
      </c>
      <c r="C63" s="136">
        <f t="shared" ref="C63:D63" si="9">SUM(C44:C62)</f>
        <v>0</v>
      </c>
      <c r="D63" s="137">
        <f t="shared" si="9"/>
        <v>0</v>
      </c>
      <c r="E63" s="1"/>
      <c r="F63" s="138"/>
      <c r="G63" s="139" t="s">
        <v>48</v>
      </c>
      <c r="H63" s="140"/>
      <c r="I63" s="141">
        <f t="shared" ref="I63:J63" si="10">SUM(I24:I62)</f>
        <v>0</v>
      </c>
      <c r="J63" s="141">
        <f t="shared" si="10"/>
        <v>0</v>
      </c>
      <c r="K63" s="142">
        <f>sum(K24:K62)</f>
        <v>0</v>
      </c>
      <c r="L63" s="1"/>
      <c r="M63" s="143" t="s">
        <v>48</v>
      </c>
      <c r="N63" s="144">
        <f t="shared" ref="N63:P63" si="11">SUM(N24:N62)</f>
        <v>0</v>
      </c>
      <c r="O63" s="144">
        <f t="shared" si="11"/>
        <v>0</v>
      </c>
      <c r="P63" s="145">
        <f t="shared" si="11"/>
        <v>0</v>
      </c>
      <c r="Q63" s="1"/>
      <c r="R63" s="146"/>
      <c r="S63" s="147"/>
      <c r="T63" s="147"/>
      <c r="U63" s="147"/>
      <c r="V63" s="24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>
      <c r="A64" s="1"/>
      <c r="B64" s="1"/>
      <c r="C64" s="1"/>
      <c r="D64" s="1"/>
      <c r="E64" s="1"/>
      <c r="F64" s="1"/>
      <c r="G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>
      <c r="A65" s="1"/>
      <c r="B65" s="1"/>
      <c r="C65" s="1"/>
      <c r="D65" s="1"/>
      <c r="E65" s="1"/>
      <c r="F65" s="1"/>
      <c r="G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>
      <c r="A66" s="1"/>
      <c r="B66" s="1"/>
      <c r="C66" s="1"/>
      <c r="D66" s="1"/>
      <c r="E66" s="1"/>
      <c r="F66" s="1"/>
      <c r="G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>
      <c r="A67" s="1"/>
      <c r="B67" s="1"/>
      <c r="C67" s="1"/>
      <c r="D67" s="1"/>
      <c r="E67" s="1"/>
      <c r="F67" s="1"/>
      <c r="G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>
      <c r="A68" s="1"/>
      <c r="B68" s="1"/>
      <c r="C68" s="1"/>
      <c r="D68" s="1"/>
      <c r="E68" s="1"/>
      <c r="F68" s="1"/>
      <c r="G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>
      <c r="A69" s="1"/>
      <c r="B69" s="1"/>
      <c r="C69" s="1"/>
      <c r="D69" s="1"/>
      <c r="E69" s="1"/>
      <c r="F69" s="1"/>
      <c r="G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>
      <c r="A70" s="1"/>
      <c r="B70" s="1"/>
      <c r="C70" s="1"/>
      <c r="D70" s="1"/>
      <c r="E70" s="1"/>
      <c r="F70" s="1"/>
      <c r="G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>
      <c r="A71" s="1"/>
      <c r="B71" s="1"/>
      <c r="C71" s="1"/>
      <c r="D71" s="1"/>
      <c r="E71" s="1"/>
      <c r="F71" s="1"/>
      <c r="G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>
      <c r="A72" s="1"/>
      <c r="B72" s="1"/>
      <c r="C72" s="1"/>
      <c r="D72" s="1"/>
      <c r="E72" s="1"/>
      <c r="F72" s="1"/>
      <c r="G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>
      <c r="A73" s="1"/>
      <c r="B73" s="1"/>
      <c r="C73" s="1"/>
      <c r="D73" s="1"/>
      <c r="E73" s="1"/>
      <c r="F73" s="1"/>
      <c r="G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>
      <c r="A74" s="1"/>
      <c r="B74" s="1"/>
      <c r="C74" s="1"/>
      <c r="D74" s="1"/>
      <c r="E74" s="1"/>
      <c r="F74" s="1"/>
      <c r="G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>
      <c r="A75" s="1"/>
      <c r="B75" s="1"/>
      <c r="C75" s="1"/>
      <c r="D75" s="1"/>
      <c r="E75" s="1"/>
      <c r="F75" s="1"/>
      <c r="G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>
      <c r="A76" s="1"/>
      <c r="B76" s="1"/>
      <c r="C76" s="1"/>
      <c r="D76" s="1"/>
      <c r="E76" s="1"/>
      <c r="F76" s="1"/>
      <c r="G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>
      <c r="A77" s="1"/>
      <c r="B77" s="1"/>
      <c r="C77" s="1"/>
      <c r="D77" s="1"/>
      <c r="E77" s="1"/>
      <c r="F77" s="1"/>
      <c r="G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>
      <c r="A78" s="1"/>
      <c r="B78" s="1"/>
      <c r="C78" s="1"/>
      <c r="D78" s="1"/>
      <c r="E78" s="1"/>
      <c r="F78" s="1"/>
      <c r="G78" s="1"/>
      <c r="H78" s="189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</row>
  </sheetData>
  <mergeCells count="35">
    <mergeCell ref="B4:D5"/>
    <mergeCell ref="J4:M6"/>
    <mergeCell ref="N4:P6"/>
    <mergeCell ref="Q4:T6"/>
    <mergeCell ref="U4:V6"/>
    <mergeCell ref="C6:D6"/>
    <mergeCell ref="C7:D7"/>
    <mergeCell ref="F4:I6"/>
    <mergeCell ref="F7:I9"/>
    <mergeCell ref="J7:M9"/>
    <mergeCell ref="N7:P9"/>
    <mergeCell ref="Q7:T9"/>
    <mergeCell ref="U7:V9"/>
    <mergeCell ref="C8:D8"/>
    <mergeCell ref="C9:D9"/>
    <mergeCell ref="B11:D12"/>
    <mergeCell ref="I15:I16"/>
    <mergeCell ref="B21:D22"/>
    <mergeCell ref="F21:J22"/>
    <mergeCell ref="M21:P22"/>
    <mergeCell ref="R21:V22"/>
    <mergeCell ref="R57:V57"/>
    <mergeCell ref="R58:V58"/>
    <mergeCell ref="R59:V59"/>
    <mergeCell ref="R60:V60"/>
    <mergeCell ref="R61:V61"/>
    <mergeCell ref="R62:V62"/>
    <mergeCell ref="R63:V63"/>
    <mergeCell ref="B31:D32"/>
    <mergeCell ref="B41:D42"/>
    <mergeCell ref="R51:V52"/>
    <mergeCell ref="R53:V53"/>
    <mergeCell ref="R54:V54"/>
    <mergeCell ref="R55:V55"/>
    <mergeCell ref="R56:V56"/>
  </mergeCells>
  <conditionalFormatting sqref="K24:K62">
    <cfRule type="cellIs" dxfId="0" priority="1" operator="greaterThan">
      <formula>0</formula>
    </cfRule>
  </conditionalFormatting>
  <conditionalFormatting sqref="K24:K62">
    <cfRule type="cellIs" dxfId="1" priority="2" operator="lessThan">
      <formula>0</formula>
    </cfRule>
  </conditionalFormatting>
  <conditionalFormatting sqref="P24:P62">
    <cfRule type="cellIs" dxfId="0" priority="3" operator="greaterThan">
      <formula>0</formula>
    </cfRule>
  </conditionalFormatting>
  <conditionalFormatting sqref="P24:P62">
    <cfRule type="cellIs" dxfId="1" priority="4" operator="lessThan">
      <formula>0</formula>
    </cfRule>
  </conditionalFormatting>
  <conditionalFormatting sqref="P24:P62">
    <cfRule type="cellIs" dxfId="2" priority="5" operator="equal">
      <formula>0</formula>
    </cfRule>
  </conditionalFormatting>
  <conditionalFormatting sqref="K24:K62">
    <cfRule type="cellIs" dxfId="2" priority="6" operator="equal">
      <formula>0</formula>
    </cfRule>
  </conditionalFormatting>
  <conditionalFormatting sqref="K63">
    <cfRule type="cellIs" dxfId="3" priority="7" operator="greaterThan">
      <formula>0</formula>
    </cfRule>
  </conditionalFormatting>
  <conditionalFormatting sqref="K63">
    <cfRule type="cellIs" dxfId="4" priority="8" operator="lessThan">
      <formula>0</formula>
    </cfRule>
  </conditionalFormatting>
  <conditionalFormatting sqref="P63">
    <cfRule type="cellIs" dxfId="3" priority="9" operator="greaterThan">
      <formula>0</formula>
    </cfRule>
  </conditionalFormatting>
  <conditionalFormatting sqref="K63">
    <cfRule type="cellIs" dxfId="5" priority="10" operator="equal">
      <formula>0</formula>
    </cfRule>
  </conditionalFormatting>
  <dataValidations>
    <dataValidation type="list" allowBlank="1" showErrorMessage="1" sqref="T24:T27 T29:T48 H24:H62">
      <formula1>setting!$A$2:$A$32</formula1>
    </dataValidation>
    <dataValidation type="list" allowBlank="1" showErrorMessage="1" sqref="T28">
      <formula1>setting!$A$2:$A$33</formula1>
    </dataValidation>
    <dataValidation type="list" allowBlank="1" showErrorMessage="1" sqref="C8">
      <formula1>"$,£,€,¥,₽,₩,R$"</formula1>
    </dataValidation>
    <dataValidation type="custom" allowBlank="1" showDropDown="1" sqref="C7">
      <formula1>OR(NOT(ISERROR(DATEVALUE(C7))), AND(ISNUMBER(C7), LEFT(CELL("format", C7))="D"))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1" t="s">
        <v>99</v>
      </c>
    </row>
    <row r="2">
      <c r="A2" s="191">
        <v>1.0</v>
      </c>
    </row>
    <row r="3">
      <c r="A3" s="191">
        <v>2.0</v>
      </c>
    </row>
    <row r="4">
      <c r="A4" s="191">
        <v>3.0</v>
      </c>
    </row>
    <row r="5">
      <c r="A5" s="191">
        <v>4.0</v>
      </c>
    </row>
    <row r="6">
      <c r="A6" s="191">
        <v>5.0</v>
      </c>
    </row>
    <row r="7">
      <c r="A7" s="191">
        <v>6.0</v>
      </c>
    </row>
    <row r="8">
      <c r="A8" s="191">
        <v>7.0</v>
      </c>
    </row>
    <row r="9">
      <c r="A9" s="191">
        <v>8.0</v>
      </c>
    </row>
    <row r="10">
      <c r="A10" s="191">
        <v>9.0</v>
      </c>
    </row>
    <row r="11">
      <c r="A11" s="191">
        <v>10.0</v>
      </c>
    </row>
    <row r="12">
      <c r="A12" s="191">
        <v>11.0</v>
      </c>
    </row>
    <row r="13">
      <c r="A13" s="191">
        <v>12.0</v>
      </c>
    </row>
    <row r="14">
      <c r="A14" s="191">
        <v>13.0</v>
      </c>
    </row>
    <row r="15">
      <c r="A15" s="191">
        <v>14.0</v>
      </c>
    </row>
    <row r="16">
      <c r="A16" s="191">
        <v>15.0</v>
      </c>
    </row>
    <row r="17">
      <c r="A17" s="191">
        <v>16.0</v>
      </c>
    </row>
    <row r="18">
      <c r="A18" s="191">
        <v>17.0</v>
      </c>
    </row>
    <row r="19">
      <c r="A19" s="191">
        <v>18.0</v>
      </c>
    </row>
    <row r="20">
      <c r="A20" s="191">
        <v>19.0</v>
      </c>
    </row>
    <row r="21">
      <c r="A21" s="191">
        <v>20.0</v>
      </c>
    </row>
    <row r="22">
      <c r="A22" s="191">
        <v>21.0</v>
      </c>
    </row>
    <row r="23">
      <c r="A23" s="191">
        <v>22.0</v>
      </c>
    </row>
    <row r="24">
      <c r="A24" s="191">
        <v>23.0</v>
      </c>
    </row>
    <row r="25">
      <c r="A25" s="191">
        <v>24.0</v>
      </c>
    </row>
    <row r="26">
      <c r="A26" s="191">
        <v>25.0</v>
      </c>
    </row>
    <row r="27">
      <c r="A27" s="191">
        <v>26.0</v>
      </c>
    </row>
    <row r="28">
      <c r="A28" s="191">
        <v>27.0</v>
      </c>
    </row>
    <row r="29">
      <c r="A29" s="191">
        <v>28.0</v>
      </c>
    </row>
    <row r="30">
      <c r="A30" s="191">
        <v>29.0</v>
      </c>
    </row>
    <row r="31">
      <c r="A31" s="191">
        <v>30.0</v>
      </c>
    </row>
    <row r="32">
      <c r="A32" s="191">
        <v>31.0</v>
      </c>
    </row>
  </sheetData>
  <drawing r:id="rId1"/>
</worksheet>
</file>